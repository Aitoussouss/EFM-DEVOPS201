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9200" windowHeight="7300" activeTab="2"/>
  </bookViews>
  <sheets>
    <sheet name="Frontend" sheetId="6" r:id="rId1"/>
    <sheet name="Backend" sheetId="5" r:id="rId2"/>
    <sheet name="Assurances_Auto" sheetId="1" r:id="rId3"/>
  </sheets>
  <definedNames>
    <definedName name="datas">Assurances_Auto!$A$1:$R$41</definedName>
  </definedNames>
  <calcPr calcId="152511"/>
  <pivotCaches>
    <pivotCache cacheId="0" r:id="rId4"/>
    <pivotCache cacheId="1" r:id="rId5"/>
  </pivotCaches>
</workbook>
</file>

<file path=xl/calcChain.xml><?xml version="1.0" encoding="utf-8"?>
<calcChain xmlns="http://schemas.openxmlformats.org/spreadsheetml/2006/main">
  <c r="X5" i="1" l="1"/>
  <c r="V9" i="1"/>
  <c r="V8" i="1"/>
  <c r="V5" i="1"/>
  <c r="W5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2" i="1"/>
  <c r="U5" i="1"/>
  <c r="Q3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2" i="1"/>
  <c r="Q33" i="1"/>
  <c r="Q34" i="1"/>
  <c r="Q35" i="1"/>
  <c r="Q36" i="1"/>
  <c r="Q37" i="1"/>
  <c r="Q38" i="1"/>
  <c r="Q39" i="1"/>
  <c r="Q40" i="1"/>
  <c r="Q41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2" i="1"/>
</calcChain>
</file>

<file path=xl/sharedStrings.xml><?xml version="1.0" encoding="utf-8"?>
<sst xmlns="http://schemas.openxmlformats.org/spreadsheetml/2006/main" count="379" uniqueCount="170">
  <si>
    <t>ID_Client</t>
  </si>
  <si>
    <t>Nom</t>
  </si>
  <si>
    <t>Prénom</t>
  </si>
  <si>
    <t>CIN</t>
  </si>
  <si>
    <t>Ville</t>
  </si>
  <si>
    <t>Type_Vehicule</t>
  </si>
  <si>
    <t>Marque</t>
  </si>
  <si>
    <t>Année_Vehicule</t>
  </si>
  <si>
    <t>Valeur_Vehicule</t>
  </si>
  <si>
    <t>Type_Assurance</t>
  </si>
  <si>
    <t>Date_Souscription</t>
  </si>
  <si>
    <t>Durée</t>
  </si>
  <si>
    <t>Prime_Base</t>
  </si>
  <si>
    <t>Taux_Risque</t>
  </si>
  <si>
    <t>Montant_Risque</t>
  </si>
  <si>
    <t>Prime_Totale</t>
  </si>
  <si>
    <t>Statut_Client</t>
  </si>
  <si>
    <t>El Amrani</t>
  </si>
  <si>
    <t>Youssef</t>
  </si>
  <si>
    <t>AB00001</t>
  </si>
  <si>
    <t>Ouarzazate</t>
  </si>
  <si>
    <t>Moto</t>
  </si>
  <si>
    <t>Renault</t>
  </si>
  <si>
    <t>Tiers+</t>
  </si>
  <si>
    <t>Ait Lahcen</t>
  </si>
  <si>
    <t>Fatima</t>
  </si>
  <si>
    <t>AB00002</t>
  </si>
  <si>
    <t>Camion</t>
  </si>
  <si>
    <t>Toyota</t>
  </si>
  <si>
    <t>Tous Risques</t>
  </si>
  <si>
    <t>Benali</t>
  </si>
  <si>
    <t>Ahmed</t>
  </si>
  <si>
    <t>AB00003</t>
  </si>
  <si>
    <t>Marrakech</t>
  </si>
  <si>
    <t>Voiture</t>
  </si>
  <si>
    <t>Hyundai</t>
  </si>
  <si>
    <t>Tiers</t>
  </si>
  <si>
    <t>El Idrissi</t>
  </si>
  <si>
    <t>Salma</t>
  </si>
  <si>
    <t>AB00004</t>
  </si>
  <si>
    <t>Rabat</t>
  </si>
  <si>
    <t>Ford</t>
  </si>
  <si>
    <t>Chraibi</t>
  </si>
  <si>
    <t>Mohamed</t>
  </si>
  <si>
    <t>AB00005</t>
  </si>
  <si>
    <t>Casablanca</t>
  </si>
  <si>
    <t>Peugeot</t>
  </si>
  <si>
    <t>Tahiri</t>
  </si>
  <si>
    <t>Khadija</t>
  </si>
  <si>
    <t>AB00006</t>
  </si>
  <si>
    <t>Agadir</t>
  </si>
  <si>
    <t>Dacia</t>
  </si>
  <si>
    <t>Bennani</t>
  </si>
  <si>
    <t>Omar</t>
  </si>
  <si>
    <t>AB00007</t>
  </si>
  <si>
    <t>El Fassi</t>
  </si>
  <si>
    <t>Imane</t>
  </si>
  <si>
    <t>AB00008</t>
  </si>
  <si>
    <t>Fes</t>
  </si>
  <si>
    <t>Alaoui</t>
  </si>
  <si>
    <t>Hassan</t>
  </si>
  <si>
    <t>AB00009</t>
  </si>
  <si>
    <t>Zerouali</t>
  </si>
  <si>
    <t>Nadia</t>
  </si>
  <si>
    <t>AB00010</t>
  </si>
  <si>
    <t>Skalli</t>
  </si>
  <si>
    <t>Abdelilah</t>
  </si>
  <si>
    <t>AB00011</t>
  </si>
  <si>
    <t>Raji</t>
  </si>
  <si>
    <t>Siham</t>
  </si>
  <si>
    <t>AB00012</t>
  </si>
  <si>
    <t>Ouahbi</t>
  </si>
  <si>
    <t>Anas</t>
  </si>
  <si>
    <t>AB00013</t>
  </si>
  <si>
    <t>Amine</t>
  </si>
  <si>
    <t>Soukaina</t>
  </si>
  <si>
    <t>AB00014</t>
  </si>
  <si>
    <t>Mouline</t>
  </si>
  <si>
    <t>Rachid</t>
  </si>
  <si>
    <t>AB00015</t>
  </si>
  <si>
    <t>Lahlou</t>
  </si>
  <si>
    <t>Sara</t>
  </si>
  <si>
    <t>AB00016</t>
  </si>
  <si>
    <t>Kabbaj</t>
  </si>
  <si>
    <t>Yassine</t>
  </si>
  <si>
    <t>AB00017</t>
  </si>
  <si>
    <t>Bouzidi</t>
  </si>
  <si>
    <t>Amina</t>
  </si>
  <si>
    <t>AB00018</t>
  </si>
  <si>
    <t>El Mansouri</t>
  </si>
  <si>
    <t>Karim</t>
  </si>
  <si>
    <t>AB00019</t>
  </si>
  <si>
    <t>Haddad</t>
  </si>
  <si>
    <t>Latifa</t>
  </si>
  <si>
    <t>AB00020</t>
  </si>
  <si>
    <t>Berrada</t>
  </si>
  <si>
    <t>Ayoub</t>
  </si>
  <si>
    <t>AB00021</t>
  </si>
  <si>
    <t>Sbaai</t>
  </si>
  <si>
    <t>Hanane</t>
  </si>
  <si>
    <t>AB00022</t>
  </si>
  <si>
    <t>Ghazali</t>
  </si>
  <si>
    <t>Mehdi</t>
  </si>
  <si>
    <t>AB00023</t>
  </si>
  <si>
    <t>Benkirane</t>
  </si>
  <si>
    <t>Samir</t>
  </si>
  <si>
    <t>AB00024</t>
  </si>
  <si>
    <t>El Khatib</t>
  </si>
  <si>
    <t>Meriem</t>
  </si>
  <si>
    <t>AB00025</t>
  </si>
  <si>
    <t>Azizi</t>
  </si>
  <si>
    <t>Hamza</t>
  </si>
  <si>
    <t>AB00026</t>
  </si>
  <si>
    <t>Raiss</t>
  </si>
  <si>
    <t>Nour</t>
  </si>
  <si>
    <t>AB00027</t>
  </si>
  <si>
    <t>Fadili</t>
  </si>
  <si>
    <t>Abdelkader</t>
  </si>
  <si>
    <t>AB00028</t>
  </si>
  <si>
    <t>Kouhen</t>
  </si>
  <si>
    <t>Lina</t>
  </si>
  <si>
    <t>AB00029</t>
  </si>
  <si>
    <t>Smires</t>
  </si>
  <si>
    <t>Younes</t>
  </si>
  <si>
    <t>AB00030</t>
  </si>
  <si>
    <t>Bounou</t>
  </si>
  <si>
    <t>Ikram</t>
  </si>
  <si>
    <t>AB00031</t>
  </si>
  <si>
    <t>El Hachimi</t>
  </si>
  <si>
    <t>Said</t>
  </si>
  <si>
    <t>AB00032</t>
  </si>
  <si>
    <t>Zayani</t>
  </si>
  <si>
    <t>Rania</t>
  </si>
  <si>
    <t>AB00033</t>
  </si>
  <si>
    <t>Belaid</t>
  </si>
  <si>
    <t>Yassir</t>
  </si>
  <si>
    <t>AB00034</t>
  </si>
  <si>
    <t>Ouhmid</t>
  </si>
  <si>
    <t>Malika</t>
  </si>
  <si>
    <t>AB00035</t>
  </si>
  <si>
    <t>Hami</t>
  </si>
  <si>
    <t>Reda</t>
  </si>
  <si>
    <t>AB00036</t>
  </si>
  <si>
    <t>El Mouden</t>
  </si>
  <si>
    <t>Jamal</t>
  </si>
  <si>
    <t>AB00037</t>
  </si>
  <si>
    <t>Karrouchi</t>
  </si>
  <si>
    <t>Ilham</t>
  </si>
  <si>
    <t>AB00038</t>
  </si>
  <si>
    <t>Benchekroun</t>
  </si>
  <si>
    <t>Adil</t>
  </si>
  <si>
    <t>AB00039</t>
  </si>
  <si>
    <t>Ait Brahim</t>
  </si>
  <si>
    <t>Naima</t>
  </si>
  <si>
    <t>AB00040</t>
  </si>
  <si>
    <t>Nombre Voiture</t>
  </si>
  <si>
    <t xml:space="preserve"> Total Ouarzazate</t>
  </si>
  <si>
    <t xml:space="preserve"> Total Camion</t>
  </si>
  <si>
    <t>ID</t>
  </si>
  <si>
    <t>Total</t>
  </si>
  <si>
    <t>Range</t>
  </si>
  <si>
    <t>Row Labels</t>
  </si>
  <si>
    <t>Grand Total</t>
  </si>
  <si>
    <t>Sum of Prime_Totale</t>
  </si>
  <si>
    <t>Count of ID_Client</t>
  </si>
  <si>
    <t>Count of CIN</t>
  </si>
  <si>
    <t>Premium</t>
  </si>
  <si>
    <t>VIP</t>
  </si>
  <si>
    <t>janv</t>
  </si>
  <si>
    <t>Group1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</si>
</sst>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 indent="1"/>
    </xf>
    <xf numFmtId="164" fontId="0" fillId="0" borderId="0" xfId="0" applyNumberFormat="1" applyAlignment="1">
      <alignment horizontal="left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[Assurances_Auto_Donnees.xlsx]Backend!PivotTable7</c:name>
    <c:fmtId val="15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Backend!$B$9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Backend!$A$10:$A$16</c:f>
              <c:strCache>
                <c:ptCount val="6"/>
                <c:pt idx="0">
                  <c:v>Agadir</c:v>
                </c:pt>
                <c:pt idx="1">
                  <c:v>Casablanca</c:v>
                </c:pt>
                <c:pt idx="2">
                  <c:v>Fes</c:v>
                </c:pt>
                <c:pt idx="3">
                  <c:v>Marrakech</c:v>
                </c:pt>
                <c:pt idx="4">
                  <c:v>Ouarzazate</c:v>
                </c:pt>
                <c:pt idx="5">
                  <c:v>Rabat</c:v>
                </c:pt>
              </c:strCache>
            </c:strRef>
          </c:cat>
          <c:val>
            <c:numRef>
              <c:f>Backend!$B$10:$B$16</c:f>
              <c:numCache>
                <c:formatCode>General</c:formatCode>
                <c:ptCount val="6"/>
                <c:pt idx="0">
                  <c:v>8</c:v>
                </c:pt>
                <c:pt idx="1">
                  <c:v>8</c:v>
                </c:pt>
                <c:pt idx="2">
                  <c:v>1</c:v>
                </c:pt>
                <c:pt idx="3">
                  <c:v>8</c:v>
                </c:pt>
                <c:pt idx="4">
                  <c:v>7</c:v>
                </c:pt>
                <c:pt idx="5">
                  <c:v>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78518224"/>
        <c:axId val="-1878510608"/>
      </c:barChart>
      <c:catAx>
        <c:axId val="-1878518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1878510608"/>
        <c:crosses val="autoZero"/>
        <c:auto val="1"/>
        <c:lblAlgn val="ctr"/>
        <c:lblOffset val="100"/>
        <c:noMultiLvlLbl val="0"/>
      </c:catAx>
      <c:valAx>
        <c:axId val="-187851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1878518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[Assurances_Auto_Donnees.xlsx]Backend!PivotTable6</c:name>
    <c:fmtId val="1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Backend!$B$3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Backend!$A$4:$A$7</c:f>
              <c:strCache>
                <c:ptCount val="3"/>
                <c:pt idx="0">
                  <c:v>Camion</c:v>
                </c:pt>
                <c:pt idx="1">
                  <c:v>Moto</c:v>
                </c:pt>
                <c:pt idx="2">
                  <c:v>Voiture</c:v>
                </c:pt>
              </c:strCache>
            </c:strRef>
          </c:cat>
          <c:val>
            <c:numRef>
              <c:f>Backend!$B$4:$B$7</c:f>
              <c:numCache>
                <c:formatCode>General</c:formatCode>
                <c:ptCount val="3"/>
                <c:pt idx="0">
                  <c:v>152100</c:v>
                </c:pt>
                <c:pt idx="1">
                  <c:v>144270</c:v>
                </c:pt>
                <c:pt idx="2">
                  <c:v>95550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-1878508976"/>
        <c:axId val="-1878512240"/>
      </c:barChart>
      <c:catAx>
        <c:axId val="-1878508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1878512240"/>
        <c:crosses val="autoZero"/>
        <c:auto val="1"/>
        <c:lblAlgn val="ctr"/>
        <c:lblOffset val="100"/>
        <c:noMultiLvlLbl val="0"/>
      </c:catAx>
      <c:valAx>
        <c:axId val="-1878512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1878508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[Assurances_Auto_Donnees.xlsx]Backend!PivotTable11</c:name>
    <c:fmtId val="24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Backend!$H$3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Backend!$G$4:$G$7</c:f>
              <c:strCache>
                <c:ptCount val="3"/>
                <c:pt idx="0">
                  <c:v>Tiers</c:v>
                </c:pt>
                <c:pt idx="1">
                  <c:v>Tiers+</c:v>
                </c:pt>
                <c:pt idx="2">
                  <c:v>Tous Risques</c:v>
                </c:pt>
              </c:strCache>
            </c:strRef>
          </c:cat>
          <c:val>
            <c:numRef>
              <c:f>Backend!$H$4:$H$7</c:f>
              <c:numCache>
                <c:formatCode>General</c:formatCode>
                <c:ptCount val="3"/>
                <c:pt idx="0">
                  <c:v>95550</c:v>
                </c:pt>
                <c:pt idx="1">
                  <c:v>144270</c:v>
                </c:pt>
                <c:pt idx="2">
                  <c:v>152100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-1878518768"/>
        <c:axId val="-1878507344"/>
      </c:areaChart>
      <c:catAx>
        <c:axId val="-1878518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1878507344"/>
        <c:crosses val="autoZero"/>
        <c:auto val="1"/>
        <c:lblAlgn val="ctr"/>
        <c:lblOffset val="100"/>
        <c:noMultiLvlLbl val="0"/>
      </c:catAx>
      <c:valAx>
        <c:axId val="-187850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1878518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[Assurances_Auto_Donnees.xlsx]Backend!PivotTable13</c:name>
    <c:fmtId val="16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layout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2777777777777778E-2"/>
          <c:y val="0.26735824129366381"/>
          <c:w val="0.75138888888888888"/>
          <c:h val="0.67447621060790219"/>
        </c:manualLayout>
      </c:layout>
      <c:pie3DChart>
        <c:varyColors val="1"/>
        <c:ser>
          <c:idx val="0"/>
          <c:order val="0"/>
          <c:tx>
            <c:strRef>
              <c:f>Backend!$C$22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Backend!$B$23:$B$25</c:f>
              <c:strCache>
                <c:ptCount val="2"/>
                <c:pt idx="0">
                  <c:v>Premium</c:v>
                </c:pt>
                <c:pt idx="1">
                  <c:v>VIP</c:v>
                </c:pt>
              </c:strCache>
            </c:strRef>
          </c:cat>
          <c:val>
            <c:numRef>
              <c:f>Backend!$C$23:$C$25</c:f>
              <c:numCache>
                <c:formatCode>General</c:formatCode>
                <c:ptCount val="2"/>
                <c:pt idx="0">
                  <c:v>1</c:v>
                </c:pt>
                <c:pt idx="1">
                  <c:v>39</c:v>
                </c:pt>
              </c:numCache>
            </c:numRef>
          </c:val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[Assurances_Auto_Donnees.xlsx]Backend!PivotTable14</c:name>
    <c:fmtId val="37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Backend!$H$24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Backend!$G$25:$G$26</c:f>
              <c:strCache>
                <c:ptCount val="1"/>
                <c:pt idx="0">
                  <c:v>janv</c:v>
                </c:pt>
              </c:strCache>
            </c:strRef>
          </c:cat>
          <c:val>
            <c:numRef>
              <c:f>Backend!$H$25:$H$26</c:f>
              <c:numCache>
                <c:formatCode>General</c:formatCode>
                <c:ptCount val="1"/>
                <c:pt idx="0">
                  <c:v>391920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1878506256"/>
        <c:axId val="-1878505712"/>
      </c:barChart>
      <c:catAx>
        <c:axId val="-1878506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1878505712"/>
        <c:crosses val="autoZero"/>
        <c:auto val="1"/>
        <c:lblAlgn val="ctr"/>
        <c:lblOffset val="100"/>
        <c:noMultiLvlLbl val="0"/>
      </c:catAx>
      <c:valAx>
        <c:axId val="-1878505712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1878506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[Assurances_Auto_Donnees.xlsx]Backend!PivotTable16</c:name>
    <c:fmtId val="15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Backend!$M$3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multiLvlStrRef>
              <c:f>Backend!$L$4:$L$45</c:f>
              <c:multiLvlStrCache>
                <c:ptCount val="40"/>
                <c:lvl>
                  <c:pt idx="0">
                    <c:v>Ait Brahim</c:v>
                  </c:pt>
                  <c:pt idx="1">
                    <c:v>Ait Lahcen</c:v>
                  </c:pt>
                  <c:pt idx="2">
                    <c:v>Alaoui</c:v>
                  </c:pt>
                  <c:pt idx="3">
                    <c:v>Amine</c:v>
                  </c:pt>
                  <c:pt idx="4">
                    <c:v>Azizi</c:v>
                  </c:pt>
                  <c:pt idx="5">
                    <c:v>Belaid</c:v>
                  </c:pt>
                  <c:pt idx="6">
                    <c:v>Benali</c:v>
                  </c:pt>
                  <c:pt idx="7">
                    <c:v>Benchekroun</c:v>
                  </c:pt>
                  <c:pt idx="8">
                    <c:v>Benkirane</c:v>
                  </c:pt>
                  <c:pt idx="9">
                    <c:v>Bennani</c:v>
                  </c:pt>
                  <c:pt idx="10">
                    <c:v>Berrada</c:v>
                  </c:pt>
                  <c:pt idx="11">
                    <c:v>Bounou</c:v>
                  </c:pt>
                  <c:pt idx="12">
                    <c:v>Bouzidi</c:v>
                  </c:pt>
                  <c:pt idx="13">
                    <c:v>Chraibi</c:v>
                  </c:pt>
                  <c:pt idx="14">
                    <c:v>El Amrani</c:v>
                  </c:pt>
                  <c:pt idx="15">
                    <c:v>El Fassi</c:v>
                  </c:pt>
                  <c:pt idx="16">
                    <c:v>El Hachimi</c:v>
                  </c:pt>
                  <c:pt idx="17">
                    <c:v>El Idrissi</c:v>
                  </c:pt>
                  <c:pt idx="18">
                    <c:v>El Khatib</c:v>
                  </c:pt>
                  <c:pt idx="19">
                    <c:v>El Mansouri</c:v>
                  </c:pt>
                  <c:pt idx="20">
                    <c:v>El Mouden</c:v>
                  </c:pt>
                  <c:pt idx="21">
                    <c:v>Fadili</c:v>
                  </c:pt>
                  <c:pt idx="22">
                    <c:v>Ghazali</c:v>
                  </c:pt>
                  <c:pt idx="23">
                    <c:v>Haddad</c:v>
                  </c:pt>
                  <c:pt idx="24">
                    <c:v>Hami</c:v>
                  </c:pt>
                  <c:pt idx="25">
                    <c:v>Kabbaj</c:v>
                  </c:pt>
                  <c:pt idx="26">
                    <c:v>Karrouchi</c:v>
                  </c:pt>
                  <c:pt idx="27">
                    <c:v>Kouhen</c:v>
                  </c:pt>
                  <c:pt idx="28">
                    <c:v>Lahlou</c:v>
                  </c:pt>
                  <c:pt idx="29">
                    <c:v>Mouline</c:v>
                  </c:pt>
                  <c:pt idx="30">
                    <c:v>Ouahbi</c:v>
                  </c:pt>
                  <c:pt idx="31">
                    <c:v>Ouhmid</c:v>
                  </c:pt>
                  <c:pt idx="32">
                    <c:v>Raiss</c:v>
                  </c:pt>
                  <c:pt idx="33">
                    <c:v>Raji</c:v>
                  </c:pt>
                  <c:pt idx="34">
                    <c:v>Sbaai</c:v>
                  </c:pt>
                  <c:pt idx="35">
                    <c:v>Skalli</c:v>
                  </c:pt>
                  <c:pt idx="36">
                    <c:v>Smires</c:v>
                  </c:pt>
                  <c:pt idx="37">
                    <c:v>Tahiri</c:v>
                  </c:pt>
                  <c:pt idx="38">
                    <c:v>Zayani</c:v>
                  </c:pt>
                  <c:pt idx="39">
                    <c:v>Zerouali</c:v>
                  </c:pt>
                </c:lvl>
                <c:lvl>
                  <c:pt idx="0">
                    <c:v>Group1</c:v>
                  </c:pt>
                </c:lvl>
              </c:multiLvlStrCache>
            </c:multiLvlStrRef>
          </c:cat>
          <c:val>
            <c:numRef>
              <c:f>Backend!$M$4:$M$45</c:f>
              <c:numCache>
                <c:formatCode>General</c:formatCode>
                <c:ptCount val="40"/>
                <c:pt idx="0">
                  <c:v>14400</c:v>
                </c:pt>
                <c:pt idx="1">
                  <c:v>7380</c:v>
                </c:pt>
                <c:pt idx="2">
                  <c:v>5550</c:v>
                </c:pt>
                <c:pt idx="3">
                  <c:v>10260</c:v>
                </c:pt>
                <c:pt idx="4">
                  <c:v>13140</c:v>
                </c:pt>
                <c:pt idx="5">
                  <c:v>13140</c:v>
                </c:pt>
                <c:pt idx="6">
                  <c:v>4650</c:v>
                </c:pt>
                <c:pt idx="7">
                  <c:v>10050</c:v>
                </c:pt>
                <c:pt idx="8">
                  <c:v>7800</c:v>
                </c:pt>
                <c:pt idx="9">
                  <c:v>7470</c:v>
                </c:pt>
                <c:pt idx="10">
                  <c:v>7350</c:v>
                </c:pt>
                <c:pt idx="11">
                  <c:v>12510</c:v>
                </c:pt>
                <c:pt idx="12">
                  <c:v>6900</c:v>
                </c:pt>
                <c:pt idx="13">
                  <c:v>8100</c:v>
                </c:pt>
                <c:pt idx="14">
                  <c:v>6210</c:v>
                </c:pt>
                <c:pt idx="15">
                  <c:v>8820</c:v>
                </c:pt>
                <c:pt idx="16">
                  <c:v>14580</c:v>
                </c:pt>
                <c:pt idx="17">
                  <c:v>6840</c:v>
                </c:pt>
                <c:pt idx="18">
                  <c:v>11250</c:v>
                </c:pt>
                <c:pt idx="19">
                  <c:v>9990</c:v>
                </c:pt>
                <c:pt idx="20">
                  <c:v>13770</c:v>
                </c:pt>
                <c:pt idx="21">
                  <c:v>11880</c:v>
                </c:pt>
                <c:pt idx="22">
                  <c:v>12420</c:v>
                </c:pt>
                <c:pt idx="23">
                  <c:v>11700</c:v>
                </c:pt>
                <c:pt idx="24">
                  <c:v>9600</c:v>
                </c:pt>
                <c:pt idx="25">
                  <c:v>10980</c:v>
                </c:pt>
                <c:pt idx="26">
                  <c:v>16020</c:v>
                </c:pt>
                <c:pt idx="27">
                  <c:v>13860</c:v>
                </c:pt>
                <c:pt idx="28">
                  <c:v>9360</c:v>
                </c:pt>
                <c:pt idx="29">
                  <c:v>6450</c:v>
                </c:pt>
                <c:pt idx="30">
                  <c:v>8730</c:v>
                </c:pt>
                <c:pt idx="31">
                  <c:v>15300</c:v>
                </c:pt>
                <c:pt idx="32">
                  <c:v>8250</c:v>
                </c:pt>
                <c:pt idx="33">
                  <c:v>6000</c:v>
                </c:pt>
                <c:pt idx="34">
                  <c:v>10620</c:v>
                </c:pt>
                <c:pt idx="35">
                  <c:v>9540</c:v>
                </c:pt>
                <c:pt idx="36">
                  <c:v>8700</c:v>
                </c:pt>
                <c:pt idx="37">
                  <c:v>5100</c:v>
                </c:pt>
                <c:pt idx="38">
                  <c:v>9150</c:v>
                </c:pt>
                <c:pt idx="39">
                  <c:v>8100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878504080"/>
        <c:axId val="-1878514960"/>
      </c:areaChart>
      <c:catAx>
        <c:axId val="-1878504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1878514960"/>
        <c:crosses val="autoZero"/>
        <c:auto val="1"/>
        <c:lblAlgn val="ctr"/>
        <c:lblOffset val="100"/>
        <c:noMultiLvlLbl val="0"/>
      </c:catAx>
      <c:valAx>
        <c:axId val="-187851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18785040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9</xdr:row>
      <xdr:rowOff>177800</xdr:rowOff>
    </xdr:from>
    <xdr:to>
      <xdr:col>11</xdr:col>
      <xdr:colOff>38100</xdr:colOff>
      <xdr:row>24</xdr:row>
      <xdr:rowOff>158750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552450</xdr:colOff>
      <xdr:row>28</xdr:row>
      <xdr:rowOff>25400</xdr:rowOff>
    </xdr:from>
    <xdr:to>
      <xdr:col>11</xdr:col>
      <xdr:colOff>247650</xdr:colOff>
      <xdr:row>43</xdr:row>
      <xdr:rowOff>6350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571500</xdr:colOff>
      <xdr:row>10</xdr:row>
      <xdr:rowOff>88900</xdr:rowOff>
    </xdr:from>
    <xdr:to>
      <xdr:col>19</xdr:col>
      <xdr:colOff>266700</xdr:colOff>
      <xdr:row>25</xdr:row>
      <xdr:rowOff>63500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82550</xdr:colOff>
      <xdr:row>28</xdr:row>
      <xdr:rowOff>38100</xdr:rowOff>
    </xdr:from>
    <xdr:to>
      <xdr:col>19</xdr:col>
      <xdr:colOff>387350</xdr:colOff>
      <xdr:row>43</xdr:row>
      <xdr:rowOff>19050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152400</xdr:colOff>
      <xdr:row>10</xdr:row>
      <xdr:rowOff>88900</xdr:rowOff>
    </xdr:from>
    <xdr:to>
      <xdr:col>27</xdr:col>
      <xdr:colOff>457200</xdr:colOff>
      <xdr:row>25</xdr:row>
      <xdr:rowOff>69850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203200</xdr:colOff>
      <xdr:row>28</xdr:row>
      <xdr:rowOff>25400</xdr:rowOff>
    </xdr:from>
    <xdr:to>
      <xdr:col>27</xdr:col>
      <xdr:colOff>508000</xdr:colOff>
      <xdr:row>43</xdr:row>
      <xdr:rowOff>6350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021.433250694441" createdVersion="5" refreshedVersion="5" minRefreshableVersion="3" recordCount="41">
  <cacheSource type="worksheet">
    <worksheetSource ref="A1:R1048576" sheet="Assurances_Auto"/>
  </cacheSource>
  <cacheFields count="18">
    <cacheField name="ID_Client" numFmtId="0">
      <sharedItems containsString="0" containsBlank="1" containsNumber="1" containsInteger="1" minValue="1" maxValue="40"/>
    </cacheField>
    <cacheField name="Nom" numFmtId="0">
      <sharedItems containsBlank="1"/>
    </cacheField>
    <cacheField name="Prénom" numFmtId="0">
      <sharedItems containsBlank="1"/>
    </cacheField>
    <cacheField name="CIN" numFmtId="0">
      <sharedItems containsBlank="1"/>
    </cacheField>
    <cacheField name="Ville" numFmtId="0">
      <sharedItems containsBlank="1" count="7">
        <s v="Ouarzazate"/>
        <s v="Marrakech"/>
        <s v="Rabat"/>
        <s v="Casablanca"/>
        <s v="Agadir"/>
        <s v="Fes"/>
        <m/>
      </sharedItems>
    </cacheField>
    <cacheField name="Type_Vehicule" numFmtId="0">
      <sharedItems containsBlank="1"/>
    </cacheField>
    <cacheField name="Marque" numFmtId="0">
      <sharedItems containsBlank="1"/>
    </cacheField>
    <cacheField name="Année_Vehicule" numFmtId="0">
      <sharedItems containsString="0" containsBlank="1" containsNumber="1" containsInteger="1" minValue="2010" maxValue="2023"/>
    </cacheField>
    <cacheField name="Valeur_Vehicule" numFmtId="0">
      <sharedItems containsString="0" containsBlank="1" containsNumber="1" containsInteger="1" minValue="93000" maxValue="210000"/>
    </cacheField>
    <cacheField name="Type_Assurance" numFmtId="0">
      <sharedItems containsBlank="1" count="4">
        <s v="Tiers+"/>
        <s v="Tous Risques"/>
        <s v="Tiers"/>
        <m/>
      </sharedItems>
    </cacheField>
    <cacheField name="Date_Souscription" numFmtId="0">
      <sharedItems containsNonDate="0" containsDate="1" containsString="0" containsBlank="1" minDate="2025-01-01T00:00:00" maxDate="2025-01-29T00:00:00"/>
    </cacheField>
    <cacheField name="Durée" numFmtId="0">
      <sharedItems containsString="0" containsBlank="1" containsNumber="1" containsInteger="1" minValue="12" maxValue="12"/>
    </cacheField>
    <cacheField name="Prime_Base" numFmtId="0">
      <sharedItems containsString="0" containsBlank="1" containsNumber="1" containsInteger="1" minValue="1560" maxValue="3900"/>
    </cacheField>
    <cacheField name="Taux_Risque" numFmtId="0">
      <sharedItems containsString="0" containsBlank="1" containsNumber="1" minValue="0.03" maxValue="0.06"/>
    </cacheField>
    <cacheField name="Montant_Risque" numFmtId="0">
      <sharedItems containsString="0" containsBlank="1" containsNumber="1" containsInteger="1" minValue="2970" maxValue="12240"/>
    </cacheField>
    <cacheField name="Prime_Totale" numFmtId="0">
      <sharedItems containsString="0" containsBlank="1" containsNumber="1" containsInteger="1" minValue="4650" maxValue="16020"/>
    </cacheField>
    <cacheField name="Statut_Client" numFmtId="0">
      <sharedItems containsBlank="1"/>
    </cacheField>
    <cacheField name="Range" numFmtId="0">
      <sharedItems containsString="0" containsBlank="1" containsNumber="1" containsInteger="1" minValue="1" maxValue="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user" refreshedDate="46021.443091435183" createdVersion="5" refreshedVersion="5" minRefreshableVersion="3" recordCount="40">
  <cacheSource type="worksheet">
    <worksheetSource name="datas"/>
  </cacheSource>
  <cacheFields count="19">
    <cacheField name="ID_Client" numFmtId="0">
      <sharedItems containsSemiMixedTypes="0" containsString="0" containsNumber="1" containsInteger="1" minValue="1" maxValue="40"/>
    </cacheField>
    <cacheField name="Nom" numFmtId="0">
      <sharedItems count="40">
        <s v="El Amrani"/>
        <s v="Ait Lahcen"/>
        <s v="Benali"/>
        <s v="El Idrissi"/>
        <s v="Chraibi"/>
        <s v="Tahiri"/>
        <s v="Bennani"/>
        <s v="El Fassi"/>
        <s v="Alaoui"/>
        <s v="Zerouali"/>
        <s v="Skalli"/>
        <s v="Raji"/>
        <s v="Ouahbi"/>
        <s v="Amine"/>
        <s v="Mouline"/>
        <s v="Lahlou"/>
        <s v="Kabbaj"/>
        <s v="Bouzidi"/>
        <s v="El Mansouri"/>
        <s v="Haddad"/>
        <s v="Berrada"/>
        <s v="Sbaai"/>
        <s v="Ghazali"/>
        <s v="Benkirane"/>
        <s v="El Khatib"/>
        <s v="Azizi"/>
        <s v="Raiss"/>
        <s v="Fadili"/>
        <s v="Kouhen"/>
        <s v="Smires"/>
        <s v="Bounou"/>
        <s v="El Hachimi"/>
        <s v="Zayani"/>
        <s v="Belaid"/>
        <s v="Ouhmid"/>
        <s v="Hami"/>
        <s v="El Mouden"/>
        <s v="Karrouchi"/>
        <s v="Benchekroun"/>
        <s v="Ait Brahim"/>
      </sharedItems>
      <fieldGroup par="18"/>
    </cacheField>
    <cacheField name="Prénom" numFmtId="0">
      <sharedItems/>
    </cacheField>
    <cacheField name="CIN" numFmtId="0">
      <sharedItems count="40">
        <s v="AB00001"/>
        <s v="AB00002"/>
        <s v="AB00003"/>
        <s v="AB00004"/>
        <s v="AB00005"/>
        <s v="AB00006"/>
        <s v="AB00007"/>
        <s v="AB00008"/>
        <s v="AB00009"/>
        <s v="AB00010"/>
        <s v="AB00011"/>
        <s v="AB00012"/>
        <s v="AB00013"/>
        <s v="AB00014"/>
        <s v="AB00015"/>
        <s v="AB00016"/>
        <s v="AB00017"/>
        <s v="AB00018"/>
        <s v="AB00019"/>
        <s v="AB00020"/>
        <s v="AB00021"/>
        <s v="AB00022"/>
        <s v="AB00023"/>
        <s v="AB00024"/>
        <s v="AB00025"/>
        <s v="AB00026"/>
        <s v="AB00027"/>
        <s v="AB00028"/>
        <s v="AB00029"/>
        <s v="AB00030"/>
        <s v="AB00031"/>
        <s v="AB00032"/>
        <s v="AB00033"/>
        <s v="AB00034"/>
        <s v="AB00035"/>
        <s v="AB00036"/>
        <s v="AB00037"/>
        <s v="AB00038"/>
        <s v="AB00039"/>
        <s v="AB00040"/>
      </sharedItems>
    </cacheField>
    <cacheField name="Ville" numFmtId="0">
      <sharedItems count="6">
        <s v="Ouarzazate"/>
        <s v="Marrakech"/>
        <s v="Rabat"/>
        <s v="Casablanca"/>
        <s v="Agadir"/>
        <s v="Fes"/>
      </sharedItems>
    </cacheField>
    <cacheField name="Type_Vehicule" numFmtId="0">
      <sharedItems count="3">
        <s v="Moto"/>
        <s v="Camion"/>
        <s v="Voiture"/>
      </sharedItems>
    </cacheField>
    <cacheField name="Marque" numFmtId="0">
      <sharedItems/>
    </cacheField>
    <cacheField name="Année_Vehicule" numFmtId="0">
      <sharedItems containsSemiMixedTypes="0" containsString="0" containsNumber="1" containsInteger="1" minValue="2010" maxValue="2023"/>
    </cacheField>
    <cacheField name="Valeur_Vehicule" numFmtId="0">
      <sharedItems containsSemiMixedTypes="0" containsString="0" containsNumber="1" containsInteger="1" minValue="93000" maxValue="210000"/>
    </cacheField>
    <cacheField name="Type_Assurance" numFmtId="0">
      <sharedItems count="3">
        <s v="Tiers+"/>
        <s v="Tous Risques"/>
        <s v="Tiers"/>
      </sharedItems>
    </cacheField>
    <cacheField name="Date_Souscription" numFmtId="164">
      <sharedItems containsSemiMixedTypes="0" containsNonDate="0" containsDate="1" containsString="0" minDate="2025-01-01T00:00:00" maxDate="2025-01-29T00:00:00" count="28"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01T00:00:00"/>
      </sharedItems>
      <fieldGroup base="10">
        <rangePr groupBy="months" startDate="2025-01-01T00:00:00" endDate="2025-01-29T00:00:00"/>
        <groupItems count="14">
          <s v="&lt;01/01/2025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29/01/2025"/>
        </groupItems>
      </fieldGroup>
    </cacheField>
    <cacheField name="Durée" numFmtId="0">
      <sharedItems containsSemiMixedTypes="0" containsString="0" containsNumber="1" containsInteger="1" minValue="12" maxValue="12"/>
    </cacheField>
    <cacheField name="Prime_Base" numFmtId="0">
      <sharedItems containsSemiMixedTypes="0" containsString="0" containsNumber="1" containsInteger="1" minValue="1560" maxValue="3900"/>
    </cacheField>
    <cacheField name="Taux_Risque" numFmtId="0">
      <sharedItems containsSemiMixedTypes="0" containsString="0" containsNumber="1" minValue="0.03" maxValue="0.06"/>
    </cacheField>
    <cacheField name="Montant_Risque" numFmtId="0">
      <sharedItems containsSemiMixedTypes="0" containsString="0" containsNumber="1" containsInteger="1" minValue="2970" maxValue="12240"/>
    </cacheField>
    <cacheField name="Prime_Totale" numFmtId="0">
      <sharedItems containsSemiMixedTypes="0" containsString="0" containsNumber="1" containsInteger="1" minValue="4650" maxValue="16020"/>
    </cacheField>
    <cacheField name="Statut_Client" numFmtId="0">
      <sharedItems count="2">
        <s v="VIP"/>
        <s v="Premium"/>
      </sharedItems>
    </cacheField>
    <cacheField name="Range" numFmtId="0">
      <sharedItems containsSemiMixedTypes="0" containsString="0" containsNumber="1" containsInteger="1" minValue="1" maxValue="40"/>
    </cacheField>
    <cacheField name="Nom2" numFmtId="0" databaseField="0">
      <fieldGroup base="1">
        <discretePr count="40"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</discretePr>
        <groupItems count="1"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1">
  <r>
    <n v="1"/>
    <s v="El Amrani"/>
    <s v="Youssef"/>
    <s v="AB00001"/>
    <x v="0"/>
    <s v="Moto"/>
    <s v="Renault"/>
    <n v="2011"/>
    <n v="93000"/>
    <x v="0"/>
    <d v="2025-01-02T00:00:00"/>
    <n v="12"/>
    <n v="1560"/>
    <n v="0.05"/>
    <n v="4650"/>
    <n v="6210"/>
    <s v="VIP"/>
    <n v="36"/>
  </r>
  <r>
    <n v="2"/>
    <s v="Ait Lahcen"/>
    <s v="Fatima"/>
    <s v="AB00002"/>
    <x v="0"/>
    <s v="Camion"/>
    <s v="Toyota"/>
    <n v="2012"/>
    <n v="96000"/>
    <x v="1"/>
    <d v="2025-01-03T00:00:00"/>
    <n v="12"/>
    <n v="1620"/>
    <n v="0.06"/>
    <n v="5760"/>
    <n v="7380"/>
    <s v="VIP"/>
    <n v="31"/>
  </r>
  <r>
    <n v="3"/>
    <s v="Benali"/>
    <s v="Ahmed"/>
    <s v="AB00003"/>
    <x v="1"/>
    <s v="Voiture"/>
    <s v="Hyundai"/>
    <n v="2013"/>
    <n v="99000"/>
    <x v="2"/>
    <d v="2025-01-04T00:00:00"/>
    <n v="12"/>
    <n v="1680"/>
    <n v="0.03"/>
    <n v="2970"/>
    <n v="4650"/>
    <s v="Premium"/>
    <n v="40"/>
  </r>
  <r>
    <n v="4"/>
    <s v="El Idrissi"/>
    <s v="Salma"/>
    <s v="AB00004"/>
    <x v="2"/>
    <s v="Moto"/>
    <s v="Ford"/>
    <n v="2014"/>
    <n v="102000"/>
    <x v="0"/>
    <d v="2025-01-05T00:00:00"/>
    <n v="12"/>
    <n v="1740"/>
    <n v="0.05"/>
    <n v="5100"/>
    <n v="6840"/>
    <s v="VIP"/>
    <n v="34"/>
  </r>
  <r>
    <n v="5"/>
    <s v="Chraibi"/>
    <s v="Mohamed"/>
    <s v="AB00005"/>
    <x v="3"/>
    <s v="Camion"/>
    <s v="Peugeot"/>
    <n v="2015"/>
    <n v="105000"/>
    <x v="1"/>
    <d v="2025-01-06T00:00:00"/>
    <n v="12"/>
    <n v="1800"/>
    <n v="0.06"/>
    <n v="6300"/>
    <n v="8100"/>
    <s v="VIP"/>
    <n v="27"/>
  </r>
  <r>
    <n v="6"/>
    <s v="Tahiri"/>
    <s v="Khadija"/>
    <s v="AB00006"/>
    <x v="4"/>
    <s v="Voiture"/>
    <s v="Dacia"/>
    <n v="2016"/>
    <n v="108000"/>
    <x v="2"/>
    <d v="2025-01-07T00:00:00"/>
    <n v="12"/>
    <n v="1860"/>
    <n v="0.03"/>
    <n v="3240"/>
    <n v="5100"/>
    <s v="VIP"/>
    <n v="39"/>
  </r>
  <r>
    <n v="7"/>
    <s v="Bennani"/>
    <s v="Omar"/>
    <s v="AB00007"/>
    <x v="1"/>
    <s v="Moto"/>
    <s v="Renault"/>
    <n v="2017"/>
    <n v="111000"/>
    <x v="0"/>
    <d v="2025-01-08T00:00:00"/>
    <n v="12"/>
    <n v="1920"/>
    <n v="0.05"/>
    <n v="5550"/>
    <n v="7470"/>
    <s v="VIP"/>
    <n v="30"/>
  </r>
  <r>
    <n v="8"/>
    <s v="El Fassi"/>
    <s v="Imane"/>
    <s v="AB00008"/>
    <x v="5"/>
    <s v="Camion"/>
    <s v="Toyota"/>
    <n v="2018"/>
    <n v="114000"/>
    <x v="1"/>
    <d v="2025-01-09T00:00:00"/>
    <n v="12"/>
    <n v="1980"/>
    <n v="0.06"/>
    <n v="6840"/>
    <n v="8820"/>
    <s v="VIP"/>
    <n v="23"/>
  </r>
  <r>
    <n v="9"/>
    <s v="Alaoui"/>
    <s v="Hassan"/>
    <s v="AB00009"/>
    <x v="2"/>
    <s v="Voiture"/>
    <s v="Hyundai"/>
    <n v="2019"/>
    <n v="117000"/>
    <x v="2"/>
    <d v="2025-01-10T00:00:00"/>
    <n v="12"/>
    <n v="2040"/>
    <n v="0.03"/>
    <n v="3510"/>
    <n v="5550"/>
    <s v="VIP"/>
    <n v="38"/>
  </r>
  <r>
    <n v="10"/>
    <s v="Zerouali"/>
    <s v="Nadia"/>
    <s v="AB00010"/>
    <x v="4"/>
    <s v="Moto"/>
    <s v="Ford"/>
    <n v="2020"/>
    <n v="120000"/>
    <x v="0"/>
    <d v="2025-01-11T00:00:00"/>
    <n v="12"/>
    <n v="2100"/>
    <n v="0.05"/>
    <n v="6000"/>
    <n v="8100"/>
    <s v="VIP"/>
    <n v="27"/>
  </r>
  <r>
    <n v="11"/>
    <s v="Skalli"/>
    <s v="Abdelilah"/>
    <s v="AB00011"/>
    <x v="3"/>
    <s v="Camion"/>
    <s v="Peugeot"/>
    <n v="2021"/>
    <n v="123000"/>
    <x v="1"/>
    <d v="2025-01-12T00:00:00"/>
    <n v="12"/>
    <n v="2160"/>
    <n v="0.06"/>
    <n v="7380"/>
    <n v="9540"/>
    <s v="VIP"/>
    <n v="20"/>
  </r>
  <r>
    <n v="12"/>
    <s v="Raji"/>
    <s v="Siham"/>
    <s v="AB00012"/>
    <x v="1"/>
    <s v="Voiture"/>
    <s v="Dacia"/>
    <n v="2022"/>
    <n v="126000"/>
    <x v="2"/>
    <d v="2025-01-13T00:00:00"/>
    <n v="12"/>
    <n v="2220"/>
    <n v="0.03"/>
    <n v="3780"/>
    <n v="6000"/>
    <s v="VIP"/>
    <n v="37"/>
  </r>
  <r>
    <n v="13"/>
    <s v="Ouahbi"/>
    <s v="Anas"/>
    <s v="AB00013"/>
    <x v="0"/>
    <s v="Moto"/>
    <s v="Renault"/>
    <n v="2023"/>
    <n v="129000"/>
    <x v="0"/>
    <d v="2025-01-14T00:00:00"/>
    <n v="12"/>
    <n v="2280"/>
    <n v="0.05"/>
    <n v="6450"/>
    <n v="8730"/>
    <s v="VIP"/>
    <n v="24"/>
  </r>
  <r>
    <n v="14"/>
    <s v="Amine"/>
    <s v="Soukaina"/>
    <s v="AB00014"/>
    <x v="4"/>
    <s v="Camion"/>
    <s v="Toyota"/>
    <n v="2010"/>
    <n v="132000"/>
    <x v="1"/>
    <d v="2025-01-15T00:00:00"/>
    <n v="12"/>
    <n v="2340"/>
    <n v="0.06"/>
    <n v="7920"/>
    <n v="10260"/>
    <s v="VIP"/>
    <n v="16"/>
  </r>
  <r>
    <n v="15"/>
    <s v="Mouline"/>
    <s v="Rachid"/>
    <s v="AB00015"/>
    <x v="3"/>
    <s v="Voiture"/>
    <s v="Hyundai"/>
    <n v="2011"/>
    <n v="135000"/>
    <x v="2"/>
    <d v="2025-01-16T00:00:00"/>
    <n v="12"/>
    <n v="2400"/>
    <n v="0.03"/>
    <n v="4050"/>
    <n v="6450"/>
    <s v="VIP"/>
    <n v="35"/>
  </r>
  <r>
    <n v="16"/>
    <s v="Lahlou"/>
    <s v="Sara"/>
    <s v="AB00016"/>
    <x v="2"/>
    <s v="Moto"/>
    <s v="Ford"/>
    <n v="2012"/>
    <n v="138000"/>
    <x v="0"/>
    <d v="2025-01-17T00:00:00"/>
    <n v="12"/>
    <n v="2460"/>
    <n v="0.05"/>
    <n v="6900"/>
    <n v="9360"/>
    <s v="VIP"/>
    <n v="21"/>
  </r>
  <r>
    <n v="17"/>
    <s v="Kabbaj"/>
    <s v="Yassine"/>
    <s v="AB00017"/>
    <x v="1"/>
    <s v="Camion"/>
    <s v="Peugeot"/>
    <n v="2013"/>
    <n v="141000"/>
    <x v="1"/>
    <d v="2025-01-18T00:00:00"/>
    <n v="12"/>
    <n v="2520"/>
    <n v="0.06"/>
    <n v="8460"/>
    <n v="10980"/>
    <s v="VIP"/>
    <n v="14"/>
  </r>
  <r>
    <n v="18"/>
    <s v="Bouzidi"/>
    <s v="Amina"/>
    <s v="AB00018"/>
    <x v="0"/>
    <s v="Voiture"/>
    <s v="Dacia"/>
    <n v="2014"/>
    <n v="144000"/>
    <x v="2"/>
    <d v="2025-01-19T00:00:00"/>
    <n v="12"/>
    <n v="2580"/>
    <n v="0.03"/>
    <n v="4320"/>
    <n v="6900"/>
    <s v="VIP"/>
    <n v="33"/>
  </r>
  <r>
    <n v="19"/>
    <s v="El Mansouri"/>
    <s v="Karim"/>
    <s v="AB00019"/>
    <x v="4"/>
    <s v="Moto"/>
    <s v="Renault"/>
    <n v="2015"/>
    <n v="147000"/>
    <x v="0"/>
    <d v="2025-01-20T00:00:00"/>
    <n v="12"/>
    <n v="2640"/>
    <n v="0.05"/>
    <n v="7350"/>
    <n v="9990"/>
    <s v="VIP"/>
    <n v="18"/>
  </r>
  <r>
    <n v="20"/>
    <s v="Haddad"/>
    <s v="Latifa"/>
    <s v="AB00020"/>
    <x v="3"/>
    <s v="Camion"/>
    <s v="Toyota"/>
    <n v="2016"/>
    <n v="150000"/>
    <x v="1"/>
    <d v="2025-01-21T00:00:00"/>
    <n v="12"/>
    <n v="2700"/>
    <n v="0.06"/>
    <n v="9000"/>
    <n v="11700"/>
    <s v="VIP"/>
    <n v="12"/>
  </r>
  <r>
    <n v="21"/>
    <s v="Berrada"/>
    <s v="Ayoub"/>
    <s v="AB00021"/>
    <x v="2"/>
    <s v="Voiture"/>
    <s v="Hyundai"/>
    <n v="2017"/>
    <n v="153000"/>
    <x v="2"/>
    <d v="2025-01-22T00:00:00"/>
    <n v="12"/>
    <n v="2760"/>
    <n v="0.03"/>
    <n v="4590"/>
    <n v="7350"/>
    <s v="VIP"/>
    <n v="32"/>
  </r>
  <r>
    <n v="22"/>
    <s v="Sbaai"/>
    <s v="Hanane"/>
    <s v="AB00022"/>
    <x v="1"/>
    <s v="Moto"/>
    <s v="Ford"/>
    <n v="2018"/>
    <n v="156000"/>
    <x v="0"/>
    <d v="2025-01-23T00:00:00"/>
    <n v="12"/>
    <n v="2820"/>
    <n v="0.05"/>
    <n v="7800"/>
    <n v="10620"/>
    <s v="VIP"/>
    <n v="15"/>
  </r>
  <r>
    <n v="23"/>
    <s v="Ghazali"/>
    <s v="Mehdi"/>
    <s v="AB00023"/>
    <x v="4"/>
    <s v="Camion"/>
    <s v="Peugeot"/>
    <n v="2019"/>
    <n v="159000"/>
    <x v="1"/>
    <d v="2025-01-24T00:00:00"/>
    <n v="12"/>
    <n v="2880"/>
    <n v="0.06"/>
    <n v="9540"/>
    <n v="12420"/>
    <s v="VIP"/>
    <n v="10"/>
  </r>
  <r>
    <n v="24"/>
    <s v="Benkirane"/>
    <s v="Samir"/>
    <s v="AB00024"/>
    <x v="2"/>
    <s v="Voiture"/>
    <s v="Dacia"/>
    <n v="2020"/>
    <n v="162000"/>
    <x v="2"/>
    <d v="2025-01-25T00:00:00"/>
    <n v="12"/>
    <n v="2940"/>
    <n v="0.03"/>
    <n v="4860"/>
    <n v="7800"/>
    <s v="VIP"/>
    <n v="29"/>
  </r>
  <r>
    <n v="25"/>
    <s v="El Khatib"/>
    <s v="Meriem"/>
    <s v="AB00025"/>
    <x v="3"/>
    <s v="Moto"/>
    <s v="Renault"/>
    <n v="2021"/>
    <n v="165000"/>
    <x v="0"/>
    <d v="2025-01-26T00:00:00"/>
    <n v="12"/>
    <n v="3000"/>
    <n v="0.05"/>
    <n v="8250"/>
    <n v="11250"/>
    <s v="VIP"/>
    <n v="13"/>
  </r>
  <r>
    <n v="26"/>
    <s v="Azizi"/>
    <s v="Hamza"/>
    <s v="AB00026"/>
    <x v="0"/>
    <s v="Camion"/>
    <s v="Toyota"/>
    <n v="2022"/>
    <n v="168000"/>
    <x v="1"/>
    <d v="2025-01-27T00:00:00"/>
    <n v="12"/>
    <n v="3060"/>
    <n v="0.06"/>
    <n v="10080"/>
    <n v="13140"/>
    <s v="VIP"/>
    <n v="7"/>
  </r>
  <r>
    <n v="27"/>
    <s v="Raiss"/>
    <s v="Nour"/>
    <s v="AB00027"/>
    <x v="4"/>
    <s v="Voiture"/>
    <s v="Hyundai"/>
    <n v="2023"/>
    <n v="171000"/>
    <x v="2"/>
    <d v="2025-01-28T00:00:00"/>
    <n v="12"/>
    <n v="3120"/>
    <n v="0.03"/>
    <n v="5130"/>
    <n v="8250"/>
    <s v="VIP"/>
    <n v="26"/>
  </r>
  <r>
    <n v="28"/>
    <s v="Fadili"/>
    <s v="Abdelkader"/>
    <s v="AB00028"/>
    <x v="1"/>
    <s v="Moto"/>
    <s v="Ford"/>
    <n v="2010"/>
    <n v="174000"/>
    <x v="0"/>
    <d v="2025-01-01T00:00:00"/>
    <n v="12"/>
    <n v="3180"/>
    <n v="0.05"/>
    <n v="8700"/>
    <n v="11880"/>
    <s v="VIP"/>
    <n v="11"/>
  </r>
  <r>
    <n v="29"/>
    <s v="Kouhen"/>
    <s v="Lina"/>
    <s v="AB00029"/>
    <x v="2"/>
    <s v="Camion"/>
    <s v="Peugeot"/>
    <n v="2011"/>
    <n v="177000"/>
    <x v="1"/>
    <d v="2025-01-02T00:00:00"/>
    <n v="12"/>
    <n v="3240"/>
    <n v="0.06"/>
    <n v="10620"/>
    <n v="13860"/>
    <s v="VIP"/>
    <n v="5"/>
  </r>
  <r>
    <n v="30"/>
    <s v="Smires"/>
    <s v="Younes"/>
    <s v="AB00030"/>
    <x v="3"/>
    <s v="Voiture"/>
    <s v="Dacia"/>
    <n v="2012"/>
    <n v="180000"/>
    <x v="2"/>
    <d v="2025-01-03T00:00:00"/>
    <n v="12"/>
    <n v="3300"/>
    <n v="0.03"/>
    <n v="5400"/>
    <n v="8700"/>
    <s v="VIP"/>
    <n v="25"/>
  </r>
  <r>
    <n v="31"/>
    <s v="Bounou"/>
    <s v="Ikram"/>
    <s v="AB00031"/>
    <x v="4"/>
    <s v="Moto"/>
    <s v="Renault"/>
    <n v="2013"/>
    <n v="183000"/>
    <x v="0"/>
    <d v="2025-01-04T00:00:00"/>
    <n v="12"/>
    <n v="3360"/>
    <n v="0.05"/>
    <n v="9150"/>
    <n v="12510"/>
    <s v="VIP"/>
    <n v="9"/>
  </r>
  <r>
    <n v="32"/>
    <s v="El Hachimi"/>
    <s v="Said"/>
    <s v="AB00032"/>
    <x v="1"/>
    <s v="Camion"/>
    <s v="Toyota"/>
    <n v="2014"/>
    <n v="186000"/>
    <x v="1"/>
    <d v="2025-01-05T00:00:00"/>
    <n v="12"/>
    <n v="3420"/>
    <n v="0.06"/>
    <n v="11160"/>
    <n v="14580"/>
    <s v="VIP"/>
    <n v="3"/>
  </r>
  <r>
    <n v="33"/>
    <s v="Zayani"/>
    <s v="Rania"/>
    <s v="AB00033"/>
    <x v="2"/>
    <s v="Voiture"/>
    <s v="Hyundai"/>
    <n v="2015"/>
    <n v="189000"/>
    <x v="2"/>
    <d v="2025-01-06T00:00:00"/>
    <n v="12"/>
    <n v="3480"/>
    <n v="0.03"/>
    <n v="5670"/>
    <n v="9150"/>
    <s v="VIP"/>
    <n v="22"/>
  </r>
  <r>
    <n v="34"/>
    <s v="Belaid"/>
    <s v="Yassir"/>
    <s v="AB00034"/>
    <x v="3"/>
    <s v="Moto"/>
    <s v="Ford"/>
    <n v="2016"/>
    <n v="192000"/>
    <x v="0"/>
    <d v="2025-01-07T00:00:00"/>
    <n v="12"/>
    <n v="3540"/>
    <n v="0.05"/>
    <n v="9600"/>
    <n v="13140"/>
    <s v="VIP"/>
    <n v="7"/>
  </r>
  <r>
    <n v="35"/>
    <s v="Ouhmid"/>
    <s v="Malika"/>
    <s v="AB00035"/>
    <x v="0"/>
    <s v="Camion"/>
    <s v="Peugeot"/>
    <n v="2017"/>
    <n v="195000"/>
    <x v="1"/>
    <d v="2025-01-08T00:00:00"/>
    <n v="12"/>
    <n v="3600"/>
    <n v="0.06"/>
    <n v="11700"/>
    <n v="15300"/>
    <s v="VIP"/>
    <n v="2"/>
  </r>
  <r>
    <n v="36"/>
    <s v="Hami"/>
    <s v="Reda"/>
    <s v="AB00036"/>
    <x v="4"/>
    <s v="Voiture"/>
    <s v="Dacia"/>
    <n v="2018"/>
    <n v="198000"/>
    <x v="2"/>
    <d v="2025-01-09T00:00:00"/>
    <n v="12"/>
    <n v="3660"/>
    <n v="0.03"/>
    <n v="5940"/>
    <n v="9600"/>
    <s v="VIP"/>
    <n v="19"/>
  </r>
  <r>
    <n v="37"/>
    <s v="El Mouden"/>
    <s v="Jamal"/>
    <s v="AB00037"/>
    <x v="1"/>
    <s v="Moto"/>
    <s v="Renault"/>
    <n v="2019"/>
    <n v="201000"/>
    <x v="0"/>
    <d v="2025-01-10T00:00:00"/>
    <n v="12"/>
    <n v="3720"/>
    <n v="0.05"/>
    <n v="10050"/>
    <n v="13770"/>
    <s v="VIP"/>
    <n v="6"/>
  </r>
  <r>
    <n v="38"/>
    <s v="Karrouchi"/>
    <s v="Ilham"/>
    <s v="AB00038"/>
    <x v="2"/>
    <s v="Camion"/>
    <s v="Toyota"/>
    <n v="2020"/>
    <n v="204000"/>
    <x v="1"/>
    <d v="2025-01-11T00:00:00"/>
    <n v="12"/>
    <n v="3780"/>
    <n v="0.06"/>
    <n v="12240"/>
    <n v="16020"/>
    <s v="VIP"/>
    <n v="1"/>
  </r>
  <r>
    <n v="39"/>
    <s v="Benchekroun"/>
    <s v="Adil"/>
    <s v="AB00039"/>
    <x v="3"/>
    <s v="Voiture"/>
    <s v="Hyundai"/>
    <n v="2021"/>
    <n v="207000"/>
    <x v="2"/>
    <d v="2025-01-12T00:00:00"/>
    <n v="12"/>
    <n v="3840"/>
    <n v="0.03"/>
    <n v="6210"/>
    <n v="10050"/>
    <s v="VIP"/>
    <n v="17"/>
  </r>
  <r>
    <n v="40"/>
    <s v="Ait Brahim"/>
    <s v="Naima"/>
    <s v="AB00040"/>
    <x v="0"/>
    <s v="Moto"/>
    <s v="Ford"/>
    <n v="2022"/>
    <n v="210000"/>
    <x v="0"/>
    <d v="2025-01-13T00:00:00"/>
    <n v="12"/>
    <n v="3900"/>
    <n v="0.05"/>
    <n v="10500"/>
    <n v="14400"/>
    <s v="VIP"/>
    <n v="4"/>
  </r>
  <r>
    <m/>
    <m/>
    <m/>
    <m/>
    <x v="6"/>
    <m/>
    <m/>
    <m/>
    <m/>
    <x v="3"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0">
  <r>
    <n v="1"/>
    <x v="0"/>
    <s v="Youssef"/>
    <x v="0"/>
    <x v="0"/>
    <x v="0"/>
    <s v="Renault"/>
    <n v="2011"/>
    <n v="93000"/>
    <x v="0"/>
    <x v="0"/>
    <n v="12"/>
    <n v="1560"/>
    <n v="0.05"/>
    <n v="4650"/>
    <n v="6210"/>
    <x v="0"/>
    <n v="36"/>
  </r>
  <r>
    <n v="2"/>
    <x v="1"/>
    <s v="Fatima"/>
    <x v="1"/>
    <x v="0"/>
    <x v="1"/>
    <s v="Toyota"/>
    <n v="2012"/>
    <n v="96000"/>
    <x v="1"/>
    <x v="1"/>
    <n v="12"/>
    <n v="1620"/>
    <n v="0.06"/>
    <n v="5760"/>
    <n v="7380"/>
    <x v="0"/>
    <n v="31"/>
  </r>
  <r>
    <n v="3"/>
    <x v="2"/>
    <s v="Ahmed"/>
    <x v="2"/>
    <x v="1"/>
    <x v="2"/>
    <s v="Hyundai"/>
    <n v="2013"/>
    <n v="99000"/>
    <x v="2"/>
    <x v="2"/>
    <n v="12"/>
    <n v="1680"/>
    <n v="0.03"/>
    <n v="2970"/>
    <n v="4650"/>
    <x v="1"/>
    <n v="40"/>
  </r>
  <r>
    <n v="4"/>
    <x v="3"/>
    <s v="Salma"/>
    <x v="3"/>
    <x v="2"/>
    <x v="0"/>
    <s v="Ford"/>
    <n v="2014"/>
    <n v="102000"/>
    <x v="0"/>
    <x v="3"/>
    <n v="12"/>
    <n v="1740"/>
    <n v="0.05"/>
    <n v="5100"/>
    <n v="6840"/>
    <x v="0"/>
    <n v="34"/>
  </r>
  <r>
    <n v="5"/>
    <x v="4"/>
    <s v="Mohamed"/>
    <x v="4"/>
    <x v="3"/>
    <x v="1"/>
    <s v="Peugeot"/>
    <n v="2015"/>
    <n v="105000"/>
    <x v="1"/>
    <x v="4"/>
    <n v="12"/>
    <n v="1800"/>
    <n v="0.06"/>
    <n v="6300"/>
    <n v="8100"/>
    <x v="0"/>
    <n v="27"/>
  </r>
  <r>
    <n v="6"/>
    <x v="5"/>
    <s v="Khadija"/>
    <x v="5"/>
    <x v="4"/>
    <x v="2"/>
    <s v="Dacia"/>
    <n v="2016"/>
    <n v="108000"/>
    <x v="2"/>
    <x v="5"/>
    <n v="12"/>
    <n v="1860"/>
    <n v="0.03"/>
    <n v="3240"/>
    <n v="5100"/>
    <x v="0"/>
    <n v="39"/>
  </r>
  <r>
    <n v="7"/>
    <x v="6"/>
    <s v="Omar"/>
    <x v="6"/>
    <x v="1"/>
    <x v="0"/>
    <s v="Renault"/>
    <n v="2017"/>
    <n v="111000"/>
    <x v="0"/>
    <x v="6"/>
    <n v="12"/>
    <n v="1920"/>
    <n v="0.05"/>
    <n v="5550"/>
    <n v="7470"/>
    <x v="0"/>
    <n v="30"/>
  </r>
  <r>
    <n v="8"/>
    <x v="7"/>
    <s v="Imane"/>
    <x v="7"/>
    <x v="5"/>
    <x v="1"/>
    <s v="Toyota"/>
    <n v="2018"/>
    <n v="114000"/>
    <x v="1"/>
    <x v="7"/>
    <n v="12"/>
    <n v="1980"/>
    <n v="0.06"/>
    <n v="6840"/>
    <n v="8820"/>
    <x v="0"/>
    <n v="23"/>
  </r>
  <r>
    <n v="9"/>
    <x v="8"/>
    <s v="Hassan"/>
    <x v="8"/>
    <x v="2"/>
    <x v="2"/>
    <s v="Hyundai"/>
    <n v="2019"/>
    <n v="117000"/>
    <x v="2"/>
    <x v="8"/>
    <n v="12"/>
    <n v="2040"/>
    <n v="0.03"/>
    <n v="3510"/>
    <n v="5550"/>
    <x v="0"/>
    <n v="38"/>
  </r>
  <r>
    <n v="10"/>
    <x v="9"/>
    <s v="Nadia"/>
    <x v="9"/>
    <x v="4"/>
    <x v="0"/>
    <s v="Ford"/>
    <n v="2020"/>
    <n v="120000"/>
    <x v="0"/>
    <x v="9"/>
    <n v="12"/>
    <n v="2100"/>
    <n v="0.05"/>
    <n v="6000"/>
    <n v="8100"/>
    <x v="0"/>
    <n v="27"/>
  </r>
  <r>
    <n v="11"/>
    <x v="10"/>
    <s v="Abdelilah"/>
    <x v="10"/>
    <x v="3"/>
    <x v="1"/>
    <s v="Peugeot"/>
    <n v="2021"/>
    <n v="123000"/>
    <x v="1"/>
    <x v="10"/>
    <n v="12"/>
    <n v="2160"/>
    <n v="0.06"/>
    <n v="7380"/>
    <n v="9540"/>
    <x v="0"/>
    <n v="20"/>
  </r>
  <r>
    <n v="12"/>
    <x v="11"/>
    <s v="Siham"/>
    <x v="11"/>
    <x v="1"/>
    <x v="2"/>
    <s v="Dacia"/>
    <n v="2022"/>
    <n v="126000"/>
    <x v="2"/>
    <x v="11"/>
    <n v="12"/>
    <n v="2220"/>
    <n v="0.03"/>
    <n v="3780"/>
    <n v="6000"/>
    <x v="0"/>
    <n v="37"/>
  </r>
  <r>
    <n v="13"/>
    <x v="12"/>
    <s v="Anas"/>
    <x v="12"/>
    <x v="0"/>
    <x v="0"/>
    <s v="Renault"/>
    <n v="2023"/>
    <n v="129000"/>
    <x v="0"/>
    <x v="12"/>
    <n v="12"/>
    <n v="2280"/>
    <n v="0.05"/>
    <n v="6450"/>
    <n v="8730"/>
    <x v="0"/>
    <n v="24"/>
  </r>
  <r>
    <n v="14"/>
    <x v="13"/>
    <s v="Soukaina"/>
    <x v="13"/>
    <x v="4"/>
    <x v="1"/>
    <s v="Toyota"/>
    <n v="2010"/>
    <n v="132000"/>
    <x v="1"/>
    <x v="13"/>
    <n v="12"/>
    <n v="2340"/>
    <n v="0.06"/>
    <n v="7920"/>
    <n v="10260"/>
    <x v="0"/>
    <n v="16"/>
  </r>
  <r>
    <n v="15"/>
    <x v="14"/>
    <s v="Rachid"/>
    <x v="14"/>
    <x v="3"/>
    <x v="2"/>
    <s v="Hyundai"/>
    <n v="2011"/>
    <n v="135000"/>
    <x v="2"/>
    <x v="14"/>
    <n v="12"/>
    <n v="2400"/>
    <n v="0.03"/>
    <n v="4050"/>
    <n v="6450"/>
    <x v="0"/>
    <n v="35"/>
  </r>
  <r>
    <n v="16"/>
    <x v="15"/>
    <s v="Sara"/>
    <x v="15"/>
    <x v="2"/>
    <x v="0"/>
    <s v="Ford"/>
    <n v="2012"/>
    <n v="138000"/>
    <x v="0"/>
    <x v="15"/>
    <n v="12"/>
    <n v="2460"/>
    <n v="0.05"/>
    <n v="6900"/>
    <n v="9360"/>
    <x v="0"/>
    <n v="21"/>
  </r>
  <r>
    <n v="17"/>
    <x v="16"/>
    <s v="Yassine"/>
    <x v="16"/>
    <x v="1"/>
    <x v="1"/>
    <s v="Peugeot"/>
    <n v="2013"/>
    <n v="141000"/>
    <x v="1"/>
    <x v="16"/>
    <n v="12"/>
    <n v="2520"/>
    <n v="0.06"/>
    <n v="8460"/>
    <n v="10980"/>
    <x v="0"/>
    <n v="14"/>
  </r>
  <r>
    <n v="18"/>
    <x v="17"/>
    <s v="Amina"/>
    <x v="17"/>
    <x v="0"/>
    <x v="2"/>
    <s v="Dacia"/>
    <n v="2014"/>
    <n v="144000"/>
    <x v="2"/>
    <x v="17"/>
    <n v="12"/>
    <n v="2580"/>
    <n v="0.03"/>
    <n v="4320"/>
    <n v="6900"/>
    <x v="0"/>
    <n v="33"/>
  </r>
  <r>
    <n v="19"/>
    <x v="18"/>
    <s v="Karim"/>
    <x v="18"/>
    <x v="4"/>
    <x v="0"/>
    <s v="Renault"/>
    <n v="2015"/>
    <n v="147000"/>
    <x v="0"/>
    <x v="18"/>
    <n v="12"/>
    <n v="2640"/>
    <n v="0.05"/>
    <n v="7350"/>
    <n v="9990"/>
    <x v="0"/>
    <n v="18"/>
  </r>
  <r>
    <n v="20"/>
    <x v="19"/>
    <s v="Latifa"/>
    <x v="19"/>
    <x v="3"/>
    <x v="1"/>
    <s v="Toyota"/>
    <n v="2016"/>
    <n v="150000"/>
    <x v="1"/>
    <x v="19"/>
    <n v="12"/>
    <n v="2700"/>
    <n v="0.06"/>
    <n v="9000"/>
    <n v="11700"/>
    <x v="0"/>
    <n v="12"/>
  </r>
  <r>
    <n v="21"/>
    <x v="20"/>
    <s v="Ayoub"/>
    <x v="20"/>
    <x v="2"/>
    <x v="2"/>
    <s v="Hyundai"/>
    <n v="2017"/>
    <n v="153000"/>
    <x v="2"/>
    <x v="20"/>
    <n v="12"/>
    <n v="2760"/>
    <n v="0.03"/>
    <n v="4590"/>
    <n v="7350"/>
    <x v="0"/>
    <n v="32"/>
  </r>
  <r>
    <n v="22"/>
    <x v="21"/>
    <s v="Hanane"/>
    <x v="21"/>
    <x v="1"/>
    <x v="0"/>
    <s v="Ford"/>
    <n v="2018"/>
    <n v="156000"/>
    <x v="0"/>
    <x v="21"/>
    <n v="12"/>
    <n v="2820"/>
    <n v="0.05"/>
    <n v="7800"/>
    <n v="10620"/>
    <x v="0"/>
    <n v="15"/>
  </r>
  <r>
    <n v="23"/>
    <x v="22"/>
    <s v="Mehdi"/>
    <x v="22"/>
    <x v="4"/>
    <x v="1"/>
    <s v="Peugeot"/>
    <n v="2019"/>
    <n v="159000"/>
    <x v="1"/>
    <x v="22"/>
    <n v="12"/>
    <n v="2880"/>
    <n v="0.06"/>
    <n v="9540"/>
    <n v="12420"/>
    <x v="0"/>
    <n v="10"/>
  </r>
  <r>
    <n v="24"/>
    <x v="23"/>
    <s v="Samir"/>
    <x v="23"/>
    <x v="2"/>
    <x v="2"/>
    <s v="Dacia"/>
    <n v="2020"/>
    <n v="162000"/>
    <x v="2"/>
    <x v="23"/>
    <n v="12"/>
    <n v="2940"/>
    <n v="0.03"/>
    <n v="4860"/>
    <n v="7800"/>
    <x v="0"/>
    <n v="29"/>
  </r>
  <r>
    <n v="25"/>
    <x v="24"/>
    <s v="Meriem"/>
    <x v="24"/>
    <x v="3"/>
    <x v="0"/>
    <s v="Renault"/>
    <n v="2021"/>
    <n v="165000"/>
    <x v="0"/>
    <x v="24"/>
    <n v="12"/>
    <n v="3000"/>
    <n v="0.05"/>
    <n v="8250"/>
    <n v="11250"/>
    <x v="0"/>
    <n v="13"/>
  </r>
  <r>
    <n v="26"/>
    <x v="25"/>
    <s v="Hamza"/>
    <x v="25"/>
    <x v="0"/>
    <x v="1"/>
    <s v="Toyota"/>
    <n v="2022"/>
    <n v="168000"/>
    <x v="1"/>
    <x v="25"/>
    <n v="12"/>
    <n v="3060"/>
    <n v="0.06"/>
    <n v="10080"/>
    <n v="13140"/>
    <x v="0"/>
    <n v="7"/>
  </r>
  <r>
    <n v="27"/>
    <x v="26"/>
    <s v="Nour"/>
    <x v="26"/>
    <x v="4"/>
    <x v="2"/>
    <s v="Hyundai"/>
    <n v="2023"/>
    <n v="171000"/>
    <x v="2"/>
    <x v="26"/>
    <n v="12"/>
    <n v="3120"/>
    <n v="0.03"/>
    <n v="5130"/>
    <n v="8250"/>
    <x v="0"/>
    <n v="26"/>
  </r>
  <r>
    <n v="28"/>
    <x v="27"/>
    <s v="Abdelkader"/>
    <x v="27"/>
    <x v="1"/>
    <x v="0"/>
    <s v="Ford"/>
    <n v="2010"/>
    <n v="174000"/>
    <x v="0"/>
    <x v="27"/>
    <n v="12"/>
    <n v="3180"/>
    <n v="0.05"/>
    <n v="8700"/>
    <n v="11880"/>
    <x v="0"/>
    <n v="11"/>
  </r>
  <r>
    <n v="29"/>
    <x v="28"/>
    <s v="Lina"/>
    <x v="28"/>
    <x v="2"/>
    <x v="1"/>
    <s v="Peugeot"/>
    <n v="2011"/>
    <n v="177000"/>
    <x v="1"/>
    <x v="0"/>
    <n v="12"/>
    <n v="3240"/>
    <n v="0.06"/>
    <n v="10620"/>
    <n v="13860"/>
    <x v="0"/>
    <n v="5"/>
  </r>
  <r>
    <n v="30"/>
    <x v="29"/>
    <s v="Younes"/>
    <x v="29"/>
    <x v="3"/>
    <x v="2"/>
    <s v="Dacia"/>
    <n v="2012"/>
    <n v="180000"/>
    <x v="2"/>
    <x v="1"/>
    <n v="12"/>
    <n v="3300"/>
    <n v="0.03"/>
    <n v="5400"/>
    <n v="8700"/>
    <x v="0"/>
    <n v="25"/>
  </r>
  <r>
    <n v="31"/>
    <x v="30"/>
    <s v="Ikram"/>
    <x v="30"/>
    <x v="4"/>
    <x v="0"/>
    <s v="Renault"/>
    <n v="2013"/>
    <n v="183000"/>
    <x v="0"/>
    <x v="2"/>
    <n v="12"/>
    <n v="3360"/>
    <n v="0.05"/>
    <n v="9150"/>
    <n v="12510"/>
    <x v="0"/>
    <n v="9"/>
  </r>
  <r>
    <n v="32"/>
    <x v="31"/>
    <s v="Said"/>
    <x v="31"/>
    <x v="1"/>
    <x v="1"/>
    <s v="Toyota"/>
    <n v="2014"/>
    <n v="186000"/>
    <x v="1"/>
    <x v="3"/>
    <n v="12"/>
    <n v="3420"/>
    <n v="0.06"/>
    <n v="11160"/>
    <n v="14580"/>
    <x v="0"/>
    <n v="3"/>
  </r>
  <r>
    <n v="33"/>
    <x v="32"/>
    <s v="Rania"/>
    <x v="32"/>
    <x v="2"/>
    <x v="2"/>
    <s v="Hyundai"/>
    <n v="2015"/>
    <n v="189000"/>
    <x v="2"/>
    <x v="4"/>
    <n v="12"/>
    <n v="3480"/>
    <n v="0.03"/>
    <n v="5670"/>
    <n v="9150"/>
    <x v="0"/>
    <n v="22"/>
  </r>
  <r>
    <n v="34"/>
    <x v="33"/>
    <s v="Yassir"/>
    <x v="33"/>
    <x v="3"/>
    <x v="0"/>
    <s v="Ford"/>
    <n v="2016"/>
    <n v="192000"/>
    <x v="0"/>
    <x v="5"/>
    <n v="12"/>
    <n v="3540"/>
    <n v="0.05"/>
    <n v="9600"/>
    <n v="13140"/>
    <x v="0"/>
    <n v="7"/>
  </r>
  <r>
    <n v="35"/>
    <x v="34"/>
    <s v="Malika"/>
    <x v="34"/>
    <x v="0"/>
    <x v="1"/>
    <s v="Peugeot"/>
    <n v="2017"/>
    <n v="195000"/>
    <x v="1"/>
    <x v="6"/>
    <n v="12"/>
    <n v="3600"/>
    <n v="0.06"/>
    <n v="11700"/>
    <n v="15300"/>
    <x v="0"/>
    <n v="2"/>
  </r>
  <r>
    <n v="36"/>
    <x v="35"/>
    <s v="Reda"/>
    <x v="35"/>
    <x v="4"/>
    <x v="2"/>
    <s v="Dacia"/>
    <n v="2018"/>
    <n v="198000"/>
    <x v="2"/>
    <x v="7"/>
    <n v="12"/>
    <n v="3660"/>
    <n v="0.03"/>
    <n v="5940"/>
    <n v="9600"/>
    <x v="0"/>
    <n v="19"/>
  </r>
  <r>
    <n v="37"/>
    <x v="36"/>
    <s v="Jamal"/>
    <x v="36"/>
    <x v="1"/>
    <x v="0"/>
    <s v="Renault"/>
    <n v="2019"/>
    <n v="201000"/>
    <x v="0"/>
    <x v="8"/>
    <n v="12"/>
    <n v="3720"/>
    <n v="0.05"/>
    <n v="10050"/>
    <n v="13770"/>
    <x v="0"/>
    <n v="6"/>
  </r>
  <r>
    <n v="38"/>
    <x v="37"/>
    <s v="Ilham"/>
    <x v="37"/>
    <x v="2"/>
    <x v="1"/>
    <s v="Toyota"/>
    <n v="2020"/>
    <n v="204000"/>
    <x v="1"/>
    <x v="9"/>
    <n v="12"/>
    <n v="3780"/>
    <n v="0.06"/>
    <n v="12240"/>
    <n v="16020"/>
    <x v="0"/>
    <n v="1"/>
  </r>
  <r>
    <n v="39"/>
    <x v="38"/>
    <s v="Adil"/>
    <x v="38"/>
    <x v="3"/>
    <x v="2"/>
    <s v="Hyundai"/>
    <n v="2021"/>
    <n v="207000"/>
    <x v="2"/>
    <x v="10"/>
    <n v="12"/>
    <n v="3840"/>
    <n v="0.03"/>
    <n v="6210"/>
    <n v="10050"/>
    <x v="0"/>
    <n v="17"/>
  </r>
  <r>
    <n v="40"/>
    <x v="39"/>
    <s v="Naima"/>
    <x v="39"/>
    <x v="0"/>
    <x v="0"/>
    <s v="Ford"/>
    <n v="2022"/>
    <n v="210000"/>
    <x v="0"/>
    <x v="11"/>
    <n v="12"/>
    <n v="3900"/>
    <n v="0.05"/>
    <n v="10500"/>
    <n v="14400"/>
    <x v="0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6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6">
  <location ref="L3:M45" firstHeaderRow="1" firstDataRow="1" firstDataCol="1"/>
  <pivotFields count="19">
    <pivotField showAll="0"/>
    <pivotField axis="axisRow" showAll="0">
      <items count="41">
        <item x="39"/>
        <item x="1"/>
        <item x="8"/>
        <item x="13"/>
        <item x="25"/>
        <item x="33"/>
        <item x="2"/>
        <item x="38"/>
        <item x="23"/>
        <item x="6"/>
        <item x="20"/>
        <item x="30"/>
        <item x="17"/>
        <item x="4"/>
        <item x="0"/>
        <item x="7"/>
        <item x="31"/>
        <item x="3"/>
        <item x="24"/>
        <item x="18"/>
        <item x="36"/>
        <item x="27"/>
        <item x="22"/>
        <item x="19"/>
        <item x="35"/>
        <item x="16"/>
        <item x="37"/>
        <item x="28"/>
        <item x="15"/>
        <item x="14"/>
        <item x="12"/>
        <item x="34"/>
        <item x="26"/>
        <item x="11"/>
        <item x="21"/>
        <item x="10"/>
        <item x="29"/>
        <item x="5"/>
        <item x="32"/>
        <item x="9"/>
        <item t="default"/>
      </items>
    </pivotField>
    <pivotField showAll="0"/>
    <pivotField showAll="0"/>
    <pivotField showAll="0">
      <items count="7">
        <item x="4"/>
        <item x="3"/>
        <item x="5"/>
        <item x="1"/>
        <item x="0"/>
        <item x="2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axis="axisRow" showAll="0" measureFilter="1" defaultSubtotal="0">
      <items count="1">
        <item x="0"/>
      </items>
    </pivotField>
  </pivotFields>
  <rowFields count="2">
    <field x="18"/>
    <field x="1"/>
  </rowFields>
  <rowItems count="42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t="grand">
      <x/>
    </i>
  </rowItems>
  <colItems count="1">
    <i/>
  </colItems>
  <dataFields count="1">
    <dataField name="Sum of Prime_Totale" fld="15" baseField="0" baseItem="0"/>
  </dataFields>
  <chartFormats count="3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8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4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0">
  <location ref="G24:H26" firstHeaderRow="1" firstDataRow="1" firstDataCol="1"/>
  <pivotFields count="19">
    <pivotField showAll="0"/>
    <pivotField showAll="0">
      <items count="41">
        <item x="39"/>
        <item x="1"/>
        <item x="8"/>
        <item x="13"/>
        <item x="25"/>
        <item x="33"/>
        <item x="2"/>
        <item x="38"/>
        <item x="23"/>
        <item x="6"/>
        <item x="20"/>
        <item x="30"/>
        <item x="17"/>
        <item x="4"/>
        <item x="0"/>
        <item x="7"/>
        <item x="31"/>
        <item x="3"/>
        <item x="24"/>
        <item x="18"/>
        <item x="36"/>
        <item x="27"/>
        <item x="22"/>
        <item x="19"/>
        <item x="35"/>
        <item x="16"/>
        <item x="37"/>
        <item x="28"/>
        <item x="15"/>
        <item x="14"/>
        <item x="12"/>
        <item x="34"/>
        <item x="26"/>
        <item x="11"/>
        <item x="21"/>
        <item x="10"/>
        <item x="29"/>
        <item x="5"/>
        <item x="32"/>
        <item x="9"/>
        <item t="default"/>
      </items>
    </pivotField>
    <pivotField showAll="0"/>
    <pivotField showAll="0"/>
    <pivotField showAll="0">
      <items count="7">
        <item x="4"/>
        <item x="3"/>
        <item x="5"/>
        <item x="1"/>
        <item x="0"/>
        <item x="2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axis="axisRow"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 defaultSubtotal="0">
      <items count="1">
        <item x="0"/>
      </items>
    </pivotField>
  </pivotFields>
  <rowFields count="1">
    <field x="10"/>
  </rowFields>
  <rowItems count="2">
    <i>
      <x v="1"/>
    </i>
    <i t="grand">
      <x/>
    </i>
  </rowItems>
  <colItems count="1">
    <i/>
  </colItems>
  <dataFields count="1">
    <dataField name="Sum of Prime_Totale" fld="15" baseField="0" baseItem="0"/>
  </dataFields>
  <chartFormats count="3">
    <chartFormat chart="2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3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8">
  <location ref="B22:C25" firstHeaderRow="1" firstDataRow="1" firstDataCol="1"/>
  <pivotFields count="19">
    <pivotField showAll="0"/>
    <pivotField showAll="0">
      <items count="41">
        <item x="39"/>
        <item x="1"/>
        <item x="8"/>
        <item x="13"/>
        <item x="25"/>
        <item x="33"/>
        <item x="2"/>
        <item x="38"/>
        <item x="23"/>
        <item x="6"/>
        <item x="20"/>
        <item x="30"/>
        <item x="17"/>
        <item x="4"/>
        <item x="0"/>
        <item x="7"/>
        <item x="31"/>
        <item x="3"/>
        <item x="24"/>
        <item x="18"/>
        <item x="36"/>
        <item x="27"/>
        <item x="22"/>
        <item x="19"/>
        <item x="35"/>
        <item x="16"/>
        <item x="37"/>
        <item x="28"/>
        <item x="15"/>
        <item x="14"/>
        <item x="12"/>
        <item x="34"/>
        <item x="26"/>
        <item x="11"/>
        <item x="21"/>
        <item x="10"/>
        <item x="29"/>
        <item x="5"/>
        <item x="32"/>
        <item x="9"/>
        <item t="default"/>
      </items>
    </pivotField>
    <pivotField showAll="0"/>
    <pivotField dataField="1" showAll="0"/>
    <pivotField showAll="0">
      <items count="7">
        <item x="4"/>
        <item x="3"/>
        <item x="5"/>
        <item x="1"/>
        <item x="0"/>
        <item x="2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 defaultSubtotal="0">
      <items count="1">
        <item x="0"/>
      </items>
    </pivotField>
  </pivotFields>
  <rowFields count="1">
    <field x="16"/>
  </rowFields>
  <rowItems count="3">
    <i>
      <x/>
    </i>
    <i>
      <x v="1"/>
    </i>
    <i t="grand">
      <x/>
    </i>
  </rowItems>
  <colItems count="1">
    <i/>
  </colItems>
  <dataFields count="1">
    <dataField name="Count of CIN" fld="3" subtotal="count" baseField="0" baseItem="0"/>
  </dataFields>
  <chartFormats count="4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5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16" format="6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1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7">
  <location ref="G3:H7" firstHeaderRow="1" firstDataRow="1" firstDataCol="1"/>
  <pivotFields count="19">
    <pivotField showAll="0"/>
    <pivotField showAll="0">
      <items count="41">
        <item x="39"/>
        <item x="1"/>
        <item x="8"/>
        <item x="13"/>
        <item x="25"/>
        <item x="33"/>
        <item x="2"/>
        <item x="38"/>
        <item x="23"/>
        <item x="6"/>
        <item x="20"/>
        <item x="30"/>
        <item x="17"/>
        <item x="4"/>
        <item x="0"/>
        <item x="7"/>
        <item x="31"/>
        <item x="3"/>
        <item x="24"/>
        <item x="18"/>
        <item x="36"/>
        <item x="27"/>
        <item x="22"/>
        <item x="19"/>
        <item x="35"/>
        <item x="16"/>
        <item x="37"/>
        <item x="28"/>
        <item x="15"/>
        <item x="14"/>
        <item x="12"/>
        <item x="34"/>
        <item x="26"/>
        <item x="11"/>
        <item x="21"/>
        <item x="10"/>
        <item x="29"/>
        <item x="5"/>
        <item x="32"/>
        <item x="9"/>
        <item t="default"/>
      </items>
    </pivotField>
    <pivotField showAll="0"/>
    <pivotField showAll="0"/>
    <pivotField showAll="0">
      <items count="7">
        <item x="4"/>
        <item x="3"/>
        <item x="5"/>
        <item x="1"/>
        <item x="0"/>
        <item x="2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 defaultSubtotal="0">
      <items count="1">
        <item x="0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ime_Totale" fld="15" baseField="0" baseItem="0"/>
  </dataFields>
  <chartFormats count="6">
    <chartFormat chart="2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0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0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7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6">
  <location ref="A9:B16" firstHeaderRow="1" firstDataRow="1" firstDataCol="1"/>
  <pivotFields count="19">
    <pivotField dataField="1" showAll="0"/>
    <pivotField showAll="0">
      <items count="41">
        <item x="39"/>
        <item x="1"/>
        <item x="8"/>
        <item x="13"/>
        <item x="25"/>
        <item x="33"/>
        <item x="2"/>
        <item x="38"/>
        <item x="23"/>
        <item x="6"/>
        <item x="20"/>
        <item x="30"/>
        <item x="17"/>
        <item x="4"/>
        <item x="0"/>
        <item x="7"/>
        <item x="31"/>
        <item x="3"/>
        <item x="24"/>
        <item x="18"/>
        <item x="36"/>
        <item x="27"/>
        <item x="22"/>
        <item x="19"/>
        <item x="35"/>
        <item x="16"/>
        <item x="37"/>
        <item x="28"/>
        <item x="15"/>
        <item x="14"/>
        <item x="12"/>
        <item x="34"/>
        <item x="26"/>
        <item x="11"/>
        <item x="21"/>
        <item x="10"/>
        <item x="29"/>
        <item x="5"/>
        <item x="32"/>
        <item x="9"/>
        <item t="default"/>
      </items>
    </pivotField>
    <pivotField showAll="0"/>
    <pivotField showAll="0"/>
    <pivotField axis="axisRow" showAll="0">
      <items count="7">
        <item x="4"/>
        <item x="3"/>
        <item x="5"/>
        <item x="1"/>
        <item x="0"/>
        <item x="2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1">
        <item x="0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ID_Client" fld="0" subtotal="count" baseField="4" baseItem="0"/>
  </dataFields>
  <chartFormats count="4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4">
  <location ref="A3:B7" firstHeaderRow="1" firstDataRow="1" firstDataCol="1"/>
  <pivotFields count="19">
    <pivotField showAll="0"/>
    <pivotField showAll="0">
      <items count="41">
        <item x="39"/>
        <item x="1"/>
        <item x="8"/>
        <item x="13"/>
        <item x="25"/>
        <item x="33"/>
        <item x="2"/>
        <item x="38"/>
        <item x="23"/>
        <item x="6"/>
        <item x="20"/>
        <item x="30"/>
        <item x="17"/>
        <item x="4"/>
        <item x="0"/>
        <item x="7"/>
        <item x="31"/>
        <item x="3"/>
        <item x="24"/>
        <item x="18"/>
        <item x="36"/>
        <item x="27"/>
        <item x="22"/>
        <item x="19"/>
        <item x="35"/>
        <item x="16"/>
        <item x="37"/>
        <item x="28"/>
        <item x="15"/>
        <item x="14"/>
        <item x="12"/>
        <item x="34"/>
        <item x="26"/>
        <item x="11"/>
        <item x="21"/>
        <item x="10"/>
        <item x="29"/>
        <item x="5"/>
        <item x="32"/>
        <item x="9"/>
        <item t="default"/>
      </items>
    </pivotField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 defaultSubtotal="0">
      <items count="1">
        <item x="0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ime_Totale" fld="15" baseField="0" baseItem="0"/>
  </dataFields>
  <chartFormats count="3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X7:Z24" firstHeaderRow="1" firstDataRow="1" firstDataCol="0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43"/>
  <sheetViews>
    <sheetView zoomScale="50" zoomScaleNormal="50" workbookViewId="0">
      <selection activeCell="AC2" sqref="AC2:AD43"/>
    </sheetView>
  </sheetViews>
  <sheetFormatPr defaultRowHeight="14.5" x14ac:dyDescent="0.35"/>
  <sheetData>
    <row r="2" spans="2:30" x14ac:dyDescent="0.35"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3"/>
      <c r="AD2" s="23"/>
    </row>
    <row r="3" spans="2:30" x14ac:dyDescent="0.35"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3"/>
      <c r="AD3" s="23"/>
    </row>
    <row r="4" spans="2:30" x14ac:dyDescent="0.35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3"/>
      <c r="AD4" s="23"/>
    </row>
    <row r="5" spans="2:30" x14ac:dyDescent="0.35"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3"/>
      <c r="AD5" s="23"/>
    </row>
    <row r="6" spans="2:30" x14ac:dyDescent="0.35"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3"/>
      <c r="AD6" s="23"/>
    </row>
    <row r="7" spans="2:30" x14ac:dyDescent="0.35"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3"/>
      <c r="AD7" s="23"/>
    </row>
    <row r="8" spans="2:30" x14ac:dyDescent="0.35"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3"/>
      <c r="AD8" s="23"/>
    </row>
    <row r="9" spans="2:30" x14ac:dyDescent="0.35"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3"/>
      <c r="AD9" s="23"/>
    </row>
    <row r="10" spans="2:30" x14ac:dyDescent="0.35">
      <c r="B10" s="22"/>
      <c r="C10" s="22"/>
      <c r="AC10" s="23"/>
      <c r="AD10" s="23"/>
    </row>
    <row r="11" spans="2:30" x14ac:dyDescent="0.35">
      <c r="B11" s="22"/>
      <c r="C11" s="22"/>
      <c r="AC11" s="23"/>
      <c r="AD11" s="23"/>
    </row>
    <row r="12" spans="2:30" x14ac:dyDescent="0.35">
      <c r="B12" s="22"/>
      <c r="C12" s="22"/>
      <c r="AC12" s="23"/>
      <c r="AD12" s="23"/>
    </row>
    <row r="13" spans="2:30" x14ac:dyDescent="0.35">
      <c r="B13" s="22"/>
      <c r="C13" s="22"/>
      <c r="AC13" s="23"/>
      <c r="AD13" s="23"/>
    </row>
    <row r="14" spans="2:30" x14ac:dyDescent="0.35">
      <c r="B14" s="22"/>
      <c r="C14" s="22"/>
      <c r="AC14" s="23"/>
      <c r="AD14" s="23"/>
    </row>
    <row r="15" spans="2:30" x14ac:dyDescent="0.35">
      <c r="B15" s="22"/>
      <c r="C15" s="22"/>
      <c r="AC15" s="23"/>
      <c r="AD15" s="23"/>
    </row>
    <row r="16" spans="2:30" x14ac:dyDescent="0.35">
      <c r="B16" s="22"/>
      <c r="C16" s="22"/>
      <c r="AC16" s="23"/>
      <c r="AD16" s="23"/>
    </row>
    <row r="17" spans="2:30" x14ac:dyDescent="0.35">
      <c r="B17" s="22"/>
      <c r="C17" s="22"/>
      <c r="AC17" s="23"/>
      <c r="AD17" s="23"/>
    </row>
    <row r="18" spans="2:30" x14ac:dyDescent="0.35">
      <c r="B18" s="22"/>
      <c r="C18" s="22"/>
      <c r="AC18" s="23"/>
      <c r="AD18" s="23"/>
    </row>
    <row r="19" spans="2:30" x14ac:dyDescent="0.35">
      <c r="B19" s="22"/>
      <c r="C19" s="22"/>
      <c r="AC19" s="23"/>
      <c r="AD19" s="23"/>
    </row>
    <row r="20" spans="2:30" x14ac:dyDescent="0.35">
      <c r="B20" s="22"/>
      <c r="C20" s="22"/>
      <c r="AC20" s="23"/>
      <c r="AD20" s="23"/>
    </row>
    <row r="21" spans="2:30" x14ac:dyDescent="0.35">
      <c r="B21" s="22"/>
      <c r="C21" s="22"/>
      <c r="AC21" s="23"/>
      <c r="AD21" s="23"/>
    </row>
    <row r="22" spans="2:30" x14ac:dyDescent="0.35">
      <c r="B22" s="22"/>
      <c r="C22" s="22"/>
      <c r="AC22" s="23"/>
      <c r="AD22" s="23"/>
    </row>
    <row r="23" spans="2:30" x14ac:dyDescent="0.35">
      <c r="B23" s="22"/>
      <c r="C23" s="22"/>
      <c r="AC23" s="23"/>
      <c r="AD23" s="23"/>
    </row>
    <row r="24" spans="2:30" x14ac:dyDescent="0.35">
      <c r="B24" s="22"/>
      <c r="C24" s="22"/>
      <c r="AC24" s="23"/>
      <c r="AD24" s="23"/>
    </row>
    <row r="25" spans="2:30" x14ac:dyDescent="0.35">
      <c r="B25" s="22"/>
      <c r="C25" s="22"/>
      <c r="AC25" s="23"/>
      <c r="AD25" s="23"/>
    </row>
    <row r="26" spans="2:30" x14ac:dyDescent="0.35">
      <c r="B26" s="22"/>
      <c r="C26" s="22"/>
      <c r="AC26" s="23"/>
      <c r="AD26" s="23"/>
    </row>
    <row r="27" spans="2:30" x14ac:dyDescent="0.35">
      <c r="B27" s="22"/>
      <c r="C27" s="22"/>
      <c r="AC27" s="23"/>
      <c r="AD27" s="23"/>
    </row>
    <row r="28" spans="2:30" x14ac:dyDescent="0.35">
      <c r="B28" s="22"/>
      <c r="C28" s="22"/>
      <c r="AC28" s="23"/>
      <c r="AD28" s="23"/>
    </row>
    <row r="29" spans="2:30" x14ac:dyDescent="0.35">
      <c r="B29" s="22"/>
      <c r="C29" s="22"/>
      <c r="AC29" s="23"/>
      <c r="AD29" s="23"/>
    </row>
    <row r="30" spans="2:30" x14ac:dyDescent="0.35">
      <c r="B30" s="22"/>
      <c r="C30" s="22"/>
      <c r="AC30" s="23"/>
      <c r="AD30" s="23"/>
    </row>
    <row r="31" spans="2:30" x14ac:dyDescent="0.35">
      <c r="B31" s="22"/>
      <c r="C31" s="22"/>
      <c r="AC31" s="23"/>
      <c r="AD31" s="23"/>
    </row>
    <row r="32" spans="2:30" x14ac:dyDescent="0.35">
      <c r="B32" s="22"/>
      <c r="C32" s="22"/>
      <c r="AC32" s="23"/>
      <c r="AD32" s="23"/>
    </row>
    <row r="33" spans="2:30" x14ac:dyDescent="0.35">
      <c r="B33" s="22"/>
      <c r="C33" s="22"/>
      <c r="AC33" s="23"/>
      <c r="AD33" s="23"/>
    </row>
    <row r="34" spans="2:30" x14ac:dyDescent="0.35">
      <c r="B34" s="22"/>
      <c r="C34" s="22"/>
      <c r="AC34" s="23"/>
      <c r="AD34" s="23"/>
    </row>
    <row r="35" spans="2:30" x14ac:dyDescent="0.35">
      <c r="B35" s="22"/>
      <c r="C35" s="22"/>
      <c r="AC35" s="23"/>
      <c r="AD35" s="23"/>
    </row>
    <row r="36" spans="2:30" x14ac:dyDescent="0.35">
      <c r="B36" s="22"/>
      <c r="C36" s="22"/>
      <c r="AC36" s="23"/>
      <c r="AD36" s="23"/>
    </row>
    <row r="37" spans="2:30" x14ac:dyDescent="0.35">
      <c r="B37" s="22"/>
      <c r="C37" s="22"/>
      <c r="AC37" s="23"/>
      <c r="AD37" s="23"/>
    </row>
    <row r="38" spans="2:30" x14ac:dyDescent="0.35">
      <c r="B38" s="22"/>
      <c r="C38" s="22"/>
      <c r="AC38" s="23"/>
      <c r="AD38" s="23"/>
    </row>
    <row r="39" spans="2:30" x14ac:dyDescent="0.35">
      <c r="B39" s="22"/>
      <c r="C39" s="22"/>
      <c r="AC39" s="23"/>
      <c r="AD39" s="23"/>
    </row>
    <row r="40" spans="2:30" x14ac:dyDescent="0.35">
      <c r="B40" s="22"/>
      <c r="C40" s="22"/>
      <c r="AC40" s="23"/>
      <c r="AD40" s="23"/>
    </row>
    <row r="41" spans="2:30" x14ac:dyDescent="0.35">
      <c r="B41" s="22"/>
      <c r="C41" s="22"/>
      <c r="AC41" s="23"/>
      <c r="AD41" s="23"/>
    </row>
    <row r="42" spans="2:30" x14ac:dyDescent="0.35">
      <c r="B42" s="22"/>
      <c r="C42" s="22"/>
      <c r="AC42" s="23"/>
      <c r="AD42" s="23"/>
    </row>
    <row r="43" spans="2:30" x14ac:dyDescent="0.35">
      <c r="AC43" s="23"/>
      <c r="AD43" s="2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45"/>
  <sheetViews>
    <sheetView topLeftCell="A4" zoomScale="79" workbookViewId="0">
      <selection activeCell="J7" sqref="J7"/>
    </sheetView>
  </sheetViews>
  <sheetFormatPr defaultRowHeight="14.5" x14ac:dyDescent="0.35"/>
  <cols>
    <col min="1" max="1" width="13.08984375" customWidth="1"/>
    <col min="2" max="2" width="18.453125" customWidth="1"/>
    <col min="3" max="3" width="11.453125" customWidth="1"/>
    <col min="7" max="7" width="13.08984375" customWidth="1"/>
    <col min="8" max="8" width="18.453125" customWidth="1"/>
    <col min="9" max="9" width="18.453125" bestFit="1" customWidth="1"/>
    <col min="12" max="12" width="15.7265625" customWidth="1"/>
    <col min="13" max="13" width="18.453125" bestFit="1" customWidth="1"/>
  </cols>
  <sheetData>
    <row r="3" spans="1:13" x14ac:dyDescent="0.35">
      <c r="A3" s="17" t="s">
        <v>161</v>
      </c>
      <c r="B3" t="s">
        <v>163</v>
      </c>
      <c r="G3" s="17" t="s">
        <v>161</v>
      </c>
      <c r="H3" t="s">
        <v>163</v>
      </c>
      <c r="L3" s="17" t="s">
        <v>161</v>
      </c>
      <c r="M3" t="s">
        <v>163</v>
      </c>
    </row>
    <row r="4" spans="1:13" x14ac:dyDescent="0.35">
      <c r="A4" s="4" t="s">
        <v>27</v>
      </c>
      <c r="B4" s="18">
        <v>152100</v>
      </c>
      <c r="G4" s="4" t="s">
        <v>36</v>
      </c>
      <c r="H4" s="18">
        <v>95550</v>
      </c>
      <c r="L4" s="4" t="s">
        <v>169</v>
      </c>
      <c r="M4" s="18"/>
    </row>
    <row r="5" spans="1:13" x14ac:dyDescent="0.35">
      <c r="A5" s="4" t="s">
        <v>21</v>
      </c>
      <c r="B5" s="18">
        <v>144270</v>
      </c>
      <c r="G5" s="4" t="s">
        <v>23</v>
      </c>
      <c r="H5" s="18">
        <v>144270</v>
      </c>
      <c r="L5" s="19" t="s">
        <v>152</v>
      </c>
      <c r="M5" s="18">
        <v>14400</v>
      </c>
    </row>
    <row r="6" spans="1:13" x14ac:dyDescent="0.35">
      <c r="A6" s="4" t="s">
        <v>34</v>
      </c>
      <c r="B6" s="18">
        <v>95550</v>
      </c>
      <c r="G6" s="4" t="s">
        <v>29</v>
      </c>
      <c r="H6" s="18">
        <v>152100</v>
      </c>
      <c r="L6" s="19" t="s">
        <v>24</v>
      </c>
      <c r="M6" s="18">
        <v>7380</v>
      </c>
    </row>
    <row r="7" spans="1:13" x14ac:dyDescent="0.35">
      <c r="A7" s="4" t="s">
        <v>162</v>
      </c>
      <c r="B7" s="18">
        <v>391920</v>
      </c>
      <c r="G7" s="4" t="s">
        <v>162</v>
      </c>
      <c r="H7" s="18">
        <v>391920</v>
      </c>
      <c r="L7" s="19" t="s">
        <v>59</v>
      </c>
      <c r="M7" s="18">
        <v>5550</v>
      </c>
    </row>
    <row r="8" spans="1:13" x14ac:dyDescent="0.35">
      <c r="L8" s="19" t="s">
        <v>74</v>
      </c>
      <c r="M8" s="18">
        <v>10260</v>
      </c>
    </row>
    <row r="9" spans="1:13" x14ac:dyDescent="0.35">
      <c r="A9" s="17" t="s">
        <v>161</v>
      </c>
      <c r="B9" t="s">
        <v>164</v>
      </c>
      <c r="L9" s="19" t="s">
        <v>110</v>
      </c>
      <c r="M9" s="18">
        <v>13140</v>
      </c>
    </row>
    <row r="10" spans="1:13" x14ac:dyDescent="0.35">
      <c r="A10" s="4" t="s">
        <v>50</v>
      </c>
      <c r="B10" s="18">
        <v>8</v>
      </c>
      <c r="L10" s="19" t="s">
        <v>134</v>
      </c>
      <c r="M10" s="18">
        <v>13140</v>
      </c>
    </row>
    <row r="11" spans="1:13" x14ac:dyDescent="0.35">
      <c r="A11" s="4" t="s">
        <v>45</v>
      </c>
      <c r="B11" s="18">
        <v>8</v>
      </c>
      <c r="L11" s="19" t="s">
        <v>30</v>
      </c>
      <c r="M11" s="18">
        <v>4650</v>
      </c>
    </row>
    <row r="12" spans="1:13" x14ac:dyDescent="0.35">
      <c r="A12" s="4" t="s">
        <v>58</v>
      </c>
      <c r="B12" s="18">
        <v>1</v>
      </c>
      <c r="L12" s="19" t="s">
        <v>149</v>
      </c>
      <c r="M12" s="18">
        <v>10050</v>
      </c>
    </row>
    <row r="13" spans="1:13" x14ac:dyDescent="0.35">
      <c r="A13" s="4" t="s">
        <v>33</v>
      </c>
      <c r="B13" s="18">
        <v>8</v>
      </c>
      <c r="G13" s="18"/>
      <c r="L13" s="19" t="s">
        <v>104</v>
      </c>
      <c r="M13" s="18">
        <v>7800</v>
      </c>
    </row>
    <row r="14" spans="1:13" x14ac:dyDescent="0.35">
      <c r="A14" s="4" t="s">
        <v>20</v>
      </c>
      <c r="B14" s="18">
        <v>7</v>
      </c>
      <c r="L14" s="19" t="s">
        <v>52</v>
      </c>
      <c r="M14" s="18">
        <v>7470</v>
      </c>
    </row>
    <row r="15" spans="1:13" x14ac:dyDescent="0.35">
      <c r="A15" s="4" t="s">
        <v>40</v>
      </c>
      <c r="B15" s="18">
        <v>8</v>
      </c>
      <c r="L15" s="19" t="s">
        <v>95</v>
      </c>
      <c r="M15" s="18">
        <v>7350</v>
      </c>
    </row>
    <row r="16" spans="1:13" x14ac:dyDescent="0.35">
      <c r="A16" s="4" t="s">
        <v>162</v>
      </c>
      <c r="B16" s="18">
        <v>40</v>
      </c>
      <c r="L16" s="19" t="s">
        <v>125</v>
      </c>
      <c r="M16" s="18">
        <v>12510</v>
      </c>
    </row>
    <row r="17" spans="2:13" x14ac:dyDescent="0.35">
      <c r="L17" s="19" t="s">
        <v>86</v>
      </c>
      <c r="M17" s="18">
        <v>6900</v>
      </c>
    </row>
    <row r="18" spans="2:13" x14ac:dyDescent="0.35">
      <c r="L18" s="19" t="s">
        <v>42</v>
      </c>
      <c r="M18" s="18">
        <v>8100</v>
      </c>
    </row>
    <row r="19" spans="2:13" x14ac:dyDescent="0.35">
      <c r="L19" s="19" t="s">
        <v>17</v>
      </c>
      <c r="M19" s="18">
        <v>6210</v>
      </c>
    </row>
    <row r="20" spans="2:13" x14ac:dyDescent="0.35">
      <c r="L20" s="19" t="s">
        <v>55</v>
      </c>
      <c r="M20" s="18">
        <v>8820</v>
      </c>
    </row>
    <row r="21" spans="2:13" x14ac:dyDescent="0.35">
      <c r="L21" s="19" t="s">
        <v>128</v>
      </c>
      <c r="M21" s="18">
        <v>14580</v>
      </c>
    </row>
    <row r="22" spans="2:13" x14ac:dyDescent="0.35">
      <c r="B22" s="17" t="s">
        <v>161</v>
      </c>
      <c r="C22" t="s">
        <v>165</v>
      </c>
      <c r="L22" s="19" t="s">
        <v>37</v>
      </c>
      <c r="M22" s="18">
        <v>6840</v>
      </c>
    </row>
    <row r="23" spans="2:13" x14ac:dyDescent="0.35">
      <c r="B23" s="4" t="s">
        <v>166</v>
      </c>
      <c r="C23" s="18">
        <v>1</v>
      </c>
      <c r="L23" s="19" t="s">
        <v>107</v>
      </c>
      <c r="M23" s="18">
        <v>11250</v>
      </c>
    </row>
    <row r="24" spans="2:13" x14ac:dyDescent="0.35">
      <c r="B24" s="4" t="s">
        <v>167</v>
      </c>
      <c r="C24" s="18">
        <v>39</v>
      </c>
      <c r="G24" s="17" t="s">
        <v>161</v>
      </c>
      <c r="H24" t="s">
        <v>163</v>
      </c>
      <c r="L24" s="19" t="s">
        <v>89</v>
      </c>
      <c r="M24" s="18">
        <v>9990</v>
      </c>
    </row>
    <row r="25" spans="2:13" x14ac:dyDescent="0.35">
      <c r="B25" s="4" t="s">
        <v>162</v>
      </c>
      <c r="C25" s="18">
        <v>40</v>
      </c>
      <c r="G25" s="20" t="s">
        <v>168</v>
      </c>
      <c r="H25" s="18">
        <v>391920</v>
      </c>
      <c r="L25" s="19" t="s">
        <v>143</v>
      </c>
      <c r="M25" s="18">
        <v>13770</v>
      </c>
    </row>
    <row r="26" spans="2:13" x14ac:dyDescent="0.35">
      <c r="G26" s="20" t="s">
        <v>162</v>
      </c>
      <c r="H26" s="18">
        <v>391920</v>
      </c>
      <c r="L26" s="19" t="s">
        <v>116</v>
      </c>
      <c r="M26" s="18">
        <v>11880</v>
      </c>
    </row>
    <row r="27" spans="2:13" x14ac:dyDescent="0.35">
      <c r="L27" s="19" t="s">
        <v>101</v>
      </c>
      <c r="M27" s="18">
        <v>12420</v>
      </c>
    </row>
    <row r="28" spans="2:13" x14ac:dyDescent="0.35">
      <c r="L28" s="19" t="s">
        <v>92</v>
      </c>
      <c r="M28" s="18">
        <v>11700</v>
      </c>
    </row>
    <row r="29" spans="2:13" x14ac:dyDescent="0.35">
      <c r="L29" s="19" t="s">
        <v>140</v>
      </c>
      <c r="M29" s="18">
        <v>9600</v>
      </c>
    </row>
    <row r="30" spans="2:13" x14ac:dyDescent="0.35">
      <c r="L30" s="19" t="s">
        <v>83</v>
      </c>
      <c r="M30" s="18">
        <v>10980</v>
      </c>
    </row>
    <row r="31" spans="2:13" x14ac:dyDescent="0.35">
      <c r="L31" s="19" t="s">
        <v>146</v>
      </c>
      <c r="M31" s="18">
        <v>16020</v>
      </c>
    </row>
    <row r="32" spans="2:13" x14ac:dyDescent="0.35">
      <c r="L32" s="19" t="s">
        <v>119</v>
      </c>
      <c r="M32" s="18">
        <v>13860</v>
      </c>
    </row>
    <row r="33" spans="12:13" x14ac:dyDescent="0.35">
      <c r="L33" s="19" t="s">
        <v>80</v>
      </c>
      <c r="M33" s="18">
        <v>9360</v>
      </c>
    </row>
    <row r="34" spans="12:13" x14ac:dyDescent="0.35">
      <c r="L34" s="19" t="s">
        <v>77</v>
      </c>
      <c r="M34" s="18">
        <v>6450</v>
      </c>
    </row>
    <row r="35" spans="12:13" x14ac:dyDescent="0.35">
      <c r="L35" s="19" t="s">
        <v>71</v>
      </c>
      <c r="M35" s="18">
        <v>8730</v>
      </c>
    </row>
    <row r="36" spans="12:13" x14ac:dyDescent="0.35">
      <c r="L36" s="19" t="s">
        <v>137</v>
      </c>
      <c r="M36" s="18">
        <v>15300</v>
      </c>
    </row>
    <row r="37" spans="12:13" x14ac:dyDescent="0.35">
      <c r="L37" s="19" t="s">
        <v>113</v>
      </c>
      <c r="M37" s="18">
        <v>8250</v>
      </c>
    </row>
    <row r="38" spans="12:13" x14ac:dyDescent="0.35">
      <c r="L38" s="19" t="s">
        <v>68</v>
      </c>
      <c r="M38" s="18">
        <v>6000</v>
      </c>
    </row>
    <row r="39" spans="12:13" x14ac:dyDescent="0.35">
      <c r="L39" s="19" t="s">
        <v>98</v>
      </c>
      <c r="M39" s="18">
        <v>10620</v>
      </c>
    </row>
    <row r="40" spans="12:13" x14ac:dyDescent="0.35">
      <c r="L40" s="19" t="s">
        <v>65</v>
      </c>
      <c r="M40" s="18">
        <v>9540</v>
      </c>
    </row>
    <row r="41" spans="12:13" x14ac:dyDescent="0.35">
      <c r="L41" s="19" t="s">
        <v>122</v>
      </c>
      <c r="M41" s="18">
        <v>8700</v>
      </c>
    </row>
    <row r="42" spans="12:13" x14ac:dyDescent="0.35">
      <c r="L42" s="19" t="s">
        <v>47</v>
      </c>
      <c r="M42" s="18">
        <v>5100</v>
      </c>
    </row>
    <row r="43" spans="12:13" x14ac:dyDescent="0.35">
      <c r="L43" s="19" t="s">
        <v>131</v>
      </c>
      <c r="M43" s="18">
        <v>9150</v>
      </c>
    </row>
    <row r="44" spans="12:13" x14ac:dyDescent="0.35">
      <c r="L44" s="19" t="s">
        <v>62</v>
      </c>
      <c r="M44" s="18">
        <v>8100</v>
      </c>
    </row>
    <row r="45" spans="12:13" x14ac:dyDescent="0.35">
      <c r="L45" s="4" t="s">
        <v>162</v>
      </c>
      <c r="M45" s="18">
        <v>391920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Views>
    <sheetView tabSelected="1" topLeftCell="O1" zoomScale="86" zoomScaleNormal="70" workbookViewId="0">
      <selection activeCell="U18" sqref="U18"/>
    </sheetView>
  </sheetViews>
  <sheetFormatPr defaultColWidth="8.90625" defaultRowHeight="14.5" x14ac:dyDescent="0.35"/>
  <cols>
    <col min="1" max="1" width="8.453125" bestFit="1" customWidth="1"/>
    <col min="2" max="2" width="11.6328125" style="4" bestFit="1" customWidth="1"/>
    <col min="3" max="3" width="10.08984375" style="4" bestFit="1" customWidth="1"/>
    <col min="4" max="4" width="8.1796875" style="4" bestFit="1" customWidth="1"/>
    <col min="5" max="5" width="10.1796875" style="4" bestFit="1" customWidth="1"/>
    <col min="6" max="6" width="12.81640625" style="4" bestFit="1" customWidth="1"/>
    <col min="7" max="7" width="7.6328125" style="4" bestFit="1" customWidth="1"/>
    <col min="8" max="8" width="14" bestFit="1" customWidth="1"/>
    <col min="9" max="10" width="14.08984375" bestFit="1" customWidth="1"/>
    <col min="11" max="11" width="15.90625" bestFit="1" customWidth="1"/>
    <col min="12" max="12" width="5.90625" bestFit="1" customWidth="1"/>
    <col min="13" max="13" width="10.54296875" bestFit="1" customWidth="1"/>
    <col min="14" max="14" width="11.1796875" bestFit="1" customWidth="1"/>
    <col min="15" max="15" width="14.453125" bestFit="1" customWidth="1"/>
    <col min="16" max="16" width="11.90625" bestFit="1" customWidth="1"/>
    <col min="17" max="17" width="11.54296875" bestFit="1" customWidth="1"/>
    <col min="19" max="19" width="5.1796875" customWidth="1"/>
    <col min="20" max="20" width="12" customWidth="1"/>
    <col min="21" max="21" width="17.26953125" customWidth="1"/>
    <col min="22" max="22" width="17.36328125" customWidth="1"/>
    <col min="23" max="23" width="15.1796875" customWidth="1"/>
    <col min="24" max="24" width="15.08984375" customWidth="1"/>
    <col min="25" max="25" width="18.1796875" customWidth="1"/>
    <col min="26" max="26" width="12.6328125" customWidth="1"/>
  </cols>
  <sheetData>
    <row r="1" spans="1:26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160</v>
      </c>
    </row>
    <row r="2" spans="1:26" x14ac:dyDescent="0.35">
      <c r="A2" s="1">
        <v>1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1">
        <v>2011</v>
      </c>
      <c r="I2" s="1">
        <v>93000</v>
      </c>
      <c r="J2" s="1" t="s">
        <v>23</v>
      </c>
      <c r="K2" s="2">
        <v>45659</v>
      </c>
      <c r="L2" s="1">
        <v>12</v>
      </c>
      <c r="M2" s="1">
        <v>1560</v>
      </c>
      <c r="N2" s="1">
        <f>IF(F2="Moto",5%,IF(F2="Voiture",3%,6%))</f>
        <v>0.05</v>
      </c>
      <c r="O2" s="1">
        <f>I2*N2</f>
        <v>4650</v>
      </c>
      <c r="P2" s="1">
        <f>M2+O2</f>
        <v>6210</v>
      </c>
      <c r="Q2" s="1" t="str">
        <f>IF(P2&lt;2000,"Standard",IF(P2&lt;5000,"Premium","VIP"))</f>
        <v>VIP</v>
      </c>
      <c r="R2" s="7">
        <f>_xlfn.RANK.EQ(P2,$P$2:$P$100,0)</f>
        <v>36</v>
      </c>
    </row>
    <row r="3" spans="1:26" x14ac:dyDescent="0.35">
      <c r="A3" s="1">
        <v>2</v>
      </c>
      <c r="B3" s="3" t="s">
        <v>24</v>
      </c>
      <c r="C3" s="3" t="s">
        <v>25</v>
      </c>
      <c r="D3" s="3" t="s">
        <v>26</v>
      </c>
      <c r="E3" s="3" t="s">
        <v>20</v>
      </c>
      <c r="F3" s="3" t="s">
        <v>27</v>
      </c>
      <c r="G3" s="3" t="s">
        <v>28</v>
      </c>
      <c r="H3" s="1">
        <v>2012</v>
      </c>
      <c r="I3" s="1">
        <v>96000</v>
      </c>
      <c r="J3" s="1" t="s">
        <v>29</v>
      </c>
      <c r="K3" s="2">
        <v>45660</v>
      </c>
      <c r="L3" s="1">
        <v>12</v>
      </c>
      <c r="M3" s="1">
        <v>1620</v>
      </c>
      <c r="N3" s="1">
        <f t="shared" ref="N3:N41" si="0">IF(F3="Moto",5%,IF(F3="Voiture",3%,6%))</f>
        <v>0.06</v>
      </c>
      <c r="O3" s="1">
        <f t="shared" ref="O3:O41" si="1">I3*N3</f>
        <v>5760</v>
      </c>
      <c r="P3" s="1">
        <f t="shared" ref="P3:P41" si="2">M3+O3</f>
        <v>7380</v>
      </c>
      <c r="Q3" s="1" t="str">
        <f t="shared" ref="Q3:Q41" si="3">IF(P3&lt;2000,"Standard",IF(P3&lt;5000,"Premium","VIP"))</f>
        <v>VIP</v>
      </c>
      <c r="R3" s="7">
        <f t="shared" ref="R3:R41" si="4">_xlfn.RANK.EQ(P3,$P$2:$P$100,0)</f>
        <v>31</v>
      </c>
    </row>
    <row r="4" spans="1:26" x14ac:dyDescent="0.35">
      <c r="A4" s="1">
        <v>3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1">
        <v>2013</v>
      </c>
      <c r="I4" s="1">
        <v>99000</v>
      </c>
      <c r="J4" s="1" t="s">
        <v>36</v>
      </c>
      <c r="K4" s="2">
        <v>45661</v>
      </c>
      <c r="L4" s="1">
        <v>12</v>
      </c>
      <c r="M4" s="1">
        <v>1680</v>
      </c>
      <c r="N4" s="1">
        <f t="shared" si="0"/>
        <v>0.03</v>
      </c>
      <c r="O4" s="1">
        <f t="shared" si="1"/>
        <v>2970</v>
      </c>
      <c r="P4" s="1">
        <f t="shared" si="2"/>
        <v>4650</v>
      </c>
      <c r="Q4" s="1" t="str">
        <f t="shared" si="3"/>
        <v>Premium</v>
      </c>
      <c r="R4" s="7">
        <f t="shared" si="4"/>
        <v>40</v>
      </c>
      <c r="U4" s="5" t="s">
        <v>29</v>
      </c>
      <c r="V4" s="5" t="s">
        <v>155</v>
      </c>
      <c r="W4" s="5" t="s">
        <v>156</v>
      </c>
      <c r="X4" s="5" t="s">
        <v>157</v>
      </c>
    </row>
    <row r="5" spans="1:26" x14ac:dyDescent="0.35">
      <c r="A5" s="1">
        <v>4</v>
      </c>
      <c r="B5" s="3" t="s">
        <v>37</v>
      </c>
      <c r="C5" s="3" t="s">
        <v>38</v>
      </c>
      <c r="D5" s="3" t="s">
        <v>39</v>
      </c>
      <c r="E5" s="3" t="s">
        <v>40</v>
      </c>
      <c r="F5" s="3" t="s">
        <v>21</v>
      </c>
      <c r="G5" s="3" t="s">
        <v>41</v>
      </c>
      <c r="H5" s="1">
        <v>2014</v>
      </c>
      <c r="I5" s="1">
        <v>102000</v>
      </c>
      <c r="J5" s="1" t="s">
        <v>23</v>
      </c>
      <c r="K5" s="2">
        <v>45662</v>
      </c>
      <c r="L5" s="1">
        <v>12</v>
      </c>
      <c r="M5" s="1">
        <v>1740</v>
      </c>
      <c r="N5" s="1">
        <f t="shared" si="0"/>
        <v>0.05</v>
      </c>
      <c r="O5" s="1">
        <f t="shared" si="1"/>
        <v>5100</v>
      </c>
      <c r="P5" s="1">
        <f t="shared" si="2"/>
        <v>6840</v>
      </c>
      <c r="Q5" s="1" t="str">
        <f t="shared" si="3"/>
        <v>VIP</v>
      </c>
      <c r="R5" s="7">
        <f t="shared" si="4"/>
        <v>34</v>
      </c>
      <c r="U5" s="7">
        <f>COUNTIF(J:J,"Tous Risques")</f>
        <v>13</v>
      </c>
      <c r="V5" s="7">
        <f>COUNTIF(F:F,"Voiture")</f>
        <v>13</v>
      </c>
      <c r="W5" s="7">
        <f>SUMIF(E:E,"Ouarzazate",P:P)</f>
        <v>72060</v>
      </c>
      <c r="X5" s="7">
        <f>SUMIF(F:F,"Camion",P:P)</f>
        <v>152100</v>
      </c>
    </row>
    <row r="6" spans="1:26" x14ac:dyDescent="0.35">
      <c r="A6" s="1">
        <v>5</v>
      </c>
      <c r="B6" s="3" t="s">
        <v>42</v>
      </c>
      <c r="C6" s="3" t="s">
        <v>43</v>
      </c>
      <c r="D6" s="3" t="s">
        <v>44</v>
      </c>
      <c r="E6" s="3" t="s">
        <v>45</v>
      </c>
      <c r="F6" s="3" t="s">
        <v>27</v>
      </c>
      <c r="G6" s="3" t="s">
        <v>46</v>
      </c>
      <c r="H6" s="1">
        <v>2015</v>
      </c>
      <c r="I6" s="1">
        <v>105000</v>
      </c>
      <c r="J6" s="1" t="s">
        <v>29</v>
      </c>
      <c r="K6" s="2">
        <v>45663</v>
      </c>
      <c r="L6" s="1">
        <v>12</v>
      </c>
      <c r="M6" s="1">
        <v>1800</v>
      </c>
      <c r="N6" s="1">
        <f t="shared" si="0"/>
        <v>0.06</v>
      </c>
      <c r="O6" s="1">
        <f t="shared" si="1"/>
        <v>6300</v>
      </c>
      <c r="P6" s="1">
        <f t="shared" si="2"/>
        <v>8100</v>
      </c>
      <c r="Q6" s="1" t="str">
        <f t="shared" si="3"/>
        <v>VIP</v>
      </c>
      <c r="R6" s="7">
        <f t="shared" si="4"/>
        <v>27</v>
      </c>
    </row>
    <row r="7" spans="1:26" x14ac:dyDescent="0.35">
      <c r="A7" s="1">
        <v>6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34</v>
      </c>
      <c r="G7" s="3" t="s">
        <v>51</v>
      </c>
      <c r="H7" s="1">
        <v>2016</v>
      </c>
      <c r="I7" s="1">
        <v>108000</v>
      </c>
      <c r="J7" s="1" t="s">
        <v>36</v>
      </c>
      <c r="K7" s="2">
        <v>45664</v>
      </c>
      <c r="L7" s="1">
        <v>12</v>
      </c>
      <c r="M7" s="1">
        <v>1860</v>
      </c>
      <c r="N7" s="1">
        <f t="shared" si="0"/>
        <v>0.03</v>
      </c>
      <c r="O7" s="1">
        <f t="shared" si="1"/>
        <v>3240</v>
      </c>
      <c r="P7" s="1">
        <f t="shared" si="2"/>
        <v>5100</v>
      </c>
      <c r="Q7" s="1" t="str">
        <f t="shared" si="3"/>
        <v>VIP</v>
      </c>
      <c r="R7" s="7">
        <f t="shared" si="4"/>
        <v>39</v>
      </c>
      <c r="U7" s="5" t="s">
        <v>158</v>
      </c>
      <c r="V7" s="7">
        <v>7</v>
      </c>
      <c r="X7" s="8"/>
      <c r="Y7" s="9"/>
      <c r="Z7" s="10"/>
    </row>
    <row r="8" spans="1:26" x14ac:dyDescent="0.35">
      <c r="A8" s="1">
        <v>7</v>
      </c>
      <c r="B8" s="3" t="s">
        <v>52</v>
      </c>
      <c r="C8" s="3" t="s">
        <v>53</v>
      </c>
      <c r="D8" s="3" t="s">
        <v>54</v>
      </c>
      <c r="E8" s="3" t="s">
        <v>33</v>
      </c>
      <c r="F8" s="3" t="s">
        <v>21</v>
      </c>
      <c r="G8" s="3" t="s">
        <v>22</v>
      </c>
      <c r="H8" s="1">
        <v>2017</v>
      </c>
      <c r="I8" s="1">
        <v>111000</v>
      </c>
      <c r="J8" s="1" t="s">
        <v>23</v>
      </c>
      <c r="K8" s="2">
        <v>45665</v>
      </c>
      <c r="L8" s="1">
        <v>12</v>
      </c>
      <c r="M8" s="1">
        <v>1920</v>
      </c>
      <c r="N8" s="1">
        <f t="shared" si="0"/>
        <v>0.05</v>
      </c>
      <c r="O8" s="1">
        <f t="shared" si="1"/>
        <v>5550</v>
      </c>
      <c r="P8" s="1">
        <f t="shared" si="2"/>
        <v>7470</v>
      </c>
      <c r="Q8" s="1" t="str">
        <f t="shared" si="3"/>
        <v>VIP</v>
      </c>
      <c r="R8" s="7">
        <f t="shared" si="4"/>
        <v>30</v>
      </c>
      <c r="U8" s="5" t="s">
        <v>1</v>
      </c>
      <c r="V8" s="7" t="str">
        <f>INDEX(B:B,MATCH(V7,A:A,0))</f>
        <v>Bennani</v>
      </c>
      <c r="X8" s="11"/>
      <c r="Y8" s="12"/>
      <c r="Z8" s="13"/>
    </row>
    <row r="9" spans="1:26" x14ac:dyDescent="0.35">
      <c r="A9" s="1">
        <v>8</v>
      </c>
      <c r="B9" s="3" t="s">
        <v>55</v>
      </c>
      <c r="C9" s="3" t="s">
        <v>56</v>
      </c>
      <c r="D9" s="3" t="s">
        <v>57</v>
      </c>
      <c r="E9" s="3" t="s">
        <v>58</v>
      </c>
      <c r="F9" s="3" t="s">
        <v>27</v>
      </c>
      <c r="G9" s="3" t="s">
        <v>28</v>
      </c>
      <c r="H9" s="1">
        <v>2018</v>
      </c>
      <c r="I9" s="1">
        <v>114000</v>
      </c>
      <c r="J9" s="1" t="s">
        <v>29</v>
      </c>
      <c r="K9" s="2">
        <v>45666</v>
      </c>
      <c r="L9" s="1">
        <v>12</v>
      </c>
      <c r="M9" s="1">
        <v>1980</v>
      </c>
      <c r="N9" s="1">
        <f t="shared" si="0"/>
        <v>0.06</v>
      </c>
      <c r="O9" s="1">
        <f t="shared" si="1"/>
        <v>6840</v>
      </c>
      <c r="P9" s="1">
        <f t="shared" si="2"/>
        <v>8820</v>
      </c>
      <c r="Q9" s="1" t="str">
        <f t="shared" si="3"/>
        <v>VIP</v>
      </c>
      <c r="R9" s="7">
        <f t="shared" si="4"/>
        <v>23</v>
      </c>
      <c r="U9" s="5" t="s">
        <v>159</v>
      </c>
      <c r="V9" s="7">
        <f>INDEX(O:O,MATCH(V7,A:A,0))</f>
        <v>5550</v>
      </c>
      <c r="X9" s="11"/>
      <c r="Y9" s="12"/>
      <c r="Z9" s="13"/>
    </row>
    <row r="10" spans="1:26" x14ac:dyDescent="0.35">
      <c r="A10" s="1">
        <v>9</v>
      </c>
      <c r="B10" s="3" t="s">
        <v>59</v>
      </c>
      <c r="C10" s="3" t="s">
        <v>60</v>
      </c>
      <c r="D10" s="3" t="s">
        <v>61</v>
      </c>
      <c r="E10" s="3" t="s">
        <v>40</v>
      </c>
      <c r="F10" s="3" t="s">
        <v>34</v>
      </c>
      <c r="G10" s="3" t="s">
        <v>35</v>
      </c>
      <c r="H10" s="1">
        <v>2019</v>
      </c>
      <c r="I10" s="1">
        <v>117000</v>
      </c>
      <c r="J10" s="1" t="s">
        <v>36</v>
      </c>
      <c r="K10" s="2">
        <v>45667</v>
      </c>
      <c r="L10" s="1">
        <v>12</v>
      </c>
      <c r="M10" s="1">
        <v>2040</v>
      </c>
      <c r="N10" s="1">
        <f t="shared" si="0"/>
        <v>0.03</v>
      </c>
      <c r="O10" s="1">
        <f t="shared" si="1"/>
        <v>3510</v>
      </c>
      <c r="P10" s="1">
        <f t="shared" si="2"/>
        <v>5550</v>
      </c>
      <c r="Q10" s="1" t="str">
        <f t="shared" si="3"/>
        <v>VIP</v>
      </c>
      <c r="R10" s="7">
        <f t="shared" si="4"/>
        <v>38</v>
      </c>
      <c r="X10" s="11"/>
      <c r="Y10" s="12"/>
      <c r="Z10" s="13"/>
    </row>
    <row r="11" spans="1:26" x14ac:dyDescent="0.35">
      <c r="A11" s="1">
        <v>10</v>
      </c>
      <c r="B11" s="3" t="s">
        <v>62</v>
      </c>
      <c r="C11" s="3" t="s">
        <v>63</v>
      </c>
      <c r="D11" s="3" t="s">
        <v>64</v>
      </c>
      <c r="E11" s="3" t="s">
        <v>50</v>
      </c>
      <c r="F11" s="3" t="s">
        <v>21</v>
      </c>
      <c r="G11" s="3" t="s">
        <v>41</v>
      </c>
      <c r="H11" s="1">
        <v>2020</v>
      </c>
      <c r="I11" s="1">
        <v>120000</v>
      </c>
      <c r="J11" s="1" t="s">
        <v>23</v>
      </c>
      <c r="K11" s="2">
        <v>45668</v>
      </c>
      <c r="L11" s="1">
        <v>12</v>
      </c>
      <c r="M11" s="1">
        <v>2100</v>
      </c>
      <c r="N11" s="1">
        <f t="shared" si="0"/>
        <v>0.05</v>
      </c>
      <c r="O11" s="1">
        <f t="shared" si="1"/>
        <v>6000</v>
      </c>
      <c r="P11" s="1">
        <f t="shared" si="2"/>
        <v>8100</v>
      </c>
      <c r="Q11" s="1" t="str">
        <f t="shared" si="3"/>
        <v>VIP</v>
      </c>
      <c r="R11" s="7">
        <f t="shared" si="4"/>
        <v>27</v>
      </c>
      <c r="X11" s="11"/>
      <c r="Y11" s="12"/>
      <c r="Z11" s="13"/>
    </row>
    <row r="12" spans="1:26" x14ac:dyDescent="0.35">
      <c r="A12" s="1">
        <v>11</v>
      </c>
      <c r="B12" s="3" t="s">
        <v>65</v>
      </c>
      <c r="C12" s="3" t="s">
        <v>66</v>
      </c>
      <c r="D12" s="3" t="s">
        <v>67</v>
      </c>
      <c r="E12" s="3" t="s">
        <v>45</v>
      </c>
      <c r="F12" s="3" t="s">
        <v>27</v>
      </c>
      <c r="G12" s="3" t="s">
        <v>46</v>
      </c>
      <c r="H12" s="1">
        <v>2021</v>
      </c>
      <c r="I12" s="1">
        <v>123000</v>
      </c>
      <c r="J12" s="1" t="s">
        <v>29</v>
      </c>
      <c r="K12" s="2">
        <v>45669</v>
      </c>
      <c r="L12" s="1">
        <v>12</v>
      </c>
      <c r="M12" s="1">
        <v>2160</v>
      </c>
      <c r="N12" s="1">
        <f t="shared" si="0"/>
        <v>0.06</v>
      </c>
      <c r="O12" s="1">
        <f t="shared" si="1"/>
        <v>7380</v>
      </c>
      <c r="P12" s="1">
        <f t="shared" si="2"/>
        <v>9540</v>
      </c>
      <c r="Q12" s="1" t="str">
        <f t="shared" si="3"/>
        <v>VIP</v>
      </c>
      <c r="R12" s="7">
        <f t="shared" si="4"/>
        <v>20</v>
      </c>
      <c r="X12" s="11"/>
      <c r="Y12" s="12"/>
      <c r="Z12" s="13"/>
    </row>
    <row r="13" spans="1:26" x14ac:dyDescent="0.35">
      <c r="A13" s="1">
        <v>12</v>
      </c>
      <c r="B13" s="3" t="s">
        <v>68</v>
      </c>
      <c r="C13" s="3" t="s">
        <v>69</v>
      </c>
      <c r="D13" s="3" t="s">
        <v>70</v>
      </c>
      <c r="E13" s="3" t="s">
        <v>33</v>
      </c>
      <c r="F13" s="3" t="s">
        <v>34</v>
      </c>
      <c r="G13" s="3" t="s">
        <v>51</v>
      </c>
      <c r="H13" s="1">
        <v>2022</v>
      </c>
      <c r="I13" s="1">
        <v>126000</v>
      </c>
      <c r="J13" s="1" t="s">
        <v>36</v>
      </c>
      <c r="K13" s="2">
        <v>45670</v>
      </c>
      <c r="L13" s="1">
        <v>12</v>
      </c>
      <c r="M13" s="1">
        <v>2220</v>
      </c>
      <c r="N13" s="1">
        <f t="shared" si="0"/>
        <v>0.03</v>
      </c>
      <c r="O13" s="1">
        <f t="shared" si="1"/>
        <v>3780</v>
      </c>
      <c r="P13" s="1">
        <f t="shared" si="2"/>
        <v>6000</v>
      </c>
      <c r="Q13" s="1" t="str">
        <f t="shared" si="3"/>
        <v>VIP</v>
      </c>
      <c r="R13" s="7">
        <f t="shared" si="4"/>
        <v>37</v>
      </c>
      <c r="X13" s="11"/>
      <c r="Y13" s="12"/>
      <c r="Z13" s="13"/>
    </row>
    <row r="14" spans="1:26" x14ac:dyDescent="0.35">
      <c r="A14" s="1">
        <v>13</v>
      </c>
      <c r="B14" s="3" t="s">
        <v>71</v>
      </c>
      <c r="C14" s="3" t="s">
        <v>72</v>
      </c>
      <c r="D14" s="3" t="s">
        <v>73</v>
      </c>
      <c r="E14" s="3" t="s">
        <v>20</v>
      </c>
      <c r="F14" s="3" t="s">
        <v>21</v>
      </c>
      <c r="G14" s="3" t="s">
        <v>22</v>
      </c>
      <c r="H14" s="1">
        <v>2023</v>
      </c>
      <c r="I14" s="1">
        <v>129000</v>
      </c>
      <c r="J14" s="1" t="s">
        <v>23</v>
      </c>
      <c r="K14" s="2">
        <v>45671</v>
      </c>
      <c r="L14" s="1">
        <v>12</v>
      </c>
      <c r="M14" s="1">
        <v>2280</v>
      </c>
      <c r="N14" s="1">
        <f t="shared" si="0"/>
        <v>0.05</v>
      </c>
      <c r="O14" s="1">
        <f t="shared" si="1"/>
        <v>6450</v>
      </c>
      <c r="P14" s="1">
        <f t="shared" si="2"/>
        <v>8730</v>
      </c>
      <c r="Q14" s="1" t="str">
        <f t="shared" si="3"/>
        <v>VIP</v>
      </c>
      <c r="R14" s="7">
        <f t="shared" si="4"/>
        <v>24</v>
      </c>
      <c r="X14" s="11"/>
      <c r="Y14" s="12"/>
      <c r="Z14" s="13"/>
    </row>
    <row r="15" spans="1:26" x14ac:dyDescent="0.35">
      <c r="A15" s="1">
        <v>14</v>
      </c>
      <c r="B15" s="3" t="s">
        <v>74</v>
      </c>
      <c r="C15" s="3" t="s">
        <v>75</v>
      </c>
      <c r="D15" s="3" t="s">
        <v>76</v>
      </c>
      <c r="E15" s="3" t="s">
        <v>50</v>
      </c>
      <c r="F15" s="3" t="s">
        <v>27</v>
      </c>
      <c r="G15" s="3" t="s">
        <v>28</v>
      </c>
      <c r="H15" s="1">
        <v>2010</v>
      </c>
      <c r="I15" s="1">
        <v>132000</v>
      </c>
      <c r="J15" s="1" t="s">
        <v>29</v>
      </c>
      <c r="K15" s="2">
        <v>45672</v>
      </c>
      <c r="L15" s="1">
        <v>12</v>
      </c>
      <c r="M15" s="1">
        <v>2340</v>
      </c>
      <c r="N15" s="1">
        <f t="shared" si="0"/>
        <v>0.06</v>
      </c>
      <c r="O15" s="1">
        <f t="shared" si="1"/>
        <v>7920</v>
      </c>
      <c r="P15" s="1">
        <f t="shared" si="2"/>
        <v>10260</v>
      </c>
      <c r="Q15" s="1" t="str">
        <f t="shared" si="3"/>
        <v>VIP</v>
      </c>
      <c r="R15" s="7">
        <f t="shared" si="4"/>
        <v>16</v>
      </c>
      <c r="X15" s="11"/>
      <c r="Y15" s="12"/>
      <c r="Z15" s="13"/>
    </row>
    <row r="16" spans="1:26" x14ac:dyDescent="0.35">
      <c r="A16" s="1">
        <v>15</v>
      </c>
      <c r="B16" s="3" t="s">
        <v>77</v>
      </c>
      <c r="C16" s="3" t="s">
        <v>78</v>
      </c>
      <c r="D16" s="3" t="s">
        <v>79</v>
      </c>
      <c r="E16" s="3" t="s">
        <v>45</v>
      </c>
      <c r="F16" s="3" t="s">
        <v>34</v>
      </c>
      <c r="G16" s="3" t="s">
        <v>35</v>
      </c>
      <c r="H16" s="1">
        <v>2011</v>
      </c>
      <c r="I16" s="1">
        <v>135000</v>
      </c>
      <c r="J16" s="1" t="s">
        <v>36</v>
      </c>
      <c r="K16" s="2">
        <v>45673</v>
      </c>
      <c r="L16" s="1">
        <v>12</v>
      </c>
      <c r="M16" s="1">
        <v>2400</v>
      </c>
      <c r="N16" s="1">
        <f t="shared" si="0"/>
        <v>0.03</v>
      </c>
      <c r="O16" s="1">
        <f t="shared" si="1"/>
        <v>4050</v>
      </c>
      <c r="P16" s="1">
        <f t="shared" si="2"/>
        <v>6450</v>
      </c>
      <c r="Q16" s="1" t="str">
        <f t="shared" si="3"/>
        <v>VIP</v>
      </c>
      <c r="R16" s="7">
        <f t="shared" si="4"/>
        <v>35</v>
      </c>
      <c r="X16" s="11"/>
      <c r="Y16" s="12"/>
      <c r="Z16" s="13"/>
    </row>
    <row r="17" spans="1:26" x14ac:dyDescent="0.35">
      <c r="A17" s="1">
        <v>16</v>
      </c>
      <c r="B17" s="3" t="s">
        <v>80</v>
      </c>
      <c r="C17" s="3" t="s">
        <v>81</v>
      </c>
      <c r="D17" s="3" t="s">
        <v>82</v>
      </c>
      <c r="E17" s="3" t="s">
        <v>40</v>
      </c>
      <c r="F17" s="3" t="s">
        <v>21</v>
      </c>
      <c r="G17" s="3" t="s">
        <v>41</v>
      </c>
      <c r="H17" s="1">
        <v>2012</v>
      </c>
      <c r="I17" s="1">
        <v>138000</v>
      </c>
      <c r="J17" s="1" t="s">
        <v>23</v>
      </c>
      <c r="K17" s="2">
        <v>45674</v>
      </c>
      <c r="L17" s="1">
        <v>12</v>
      </c>
      <c r="M17" s="1">
        <v>2460</v>
      </c>
      <c r="N17" s="1">
        <f t="shared" si="0"/>
        <v>0.05</v>
      </c>
      <c r="O17" s="1">
        <f t="shared" si="1"/>
        <v>6900</v>
      </c>
      <c r="P17" s="1">
        <f t="shared" si="2"/>
        <v>9360</v>
      </c>
      <c r="Q17" s="1" t="str">
        <f t="shared" si="3"/>
        <v>VIP</v>
      </c>
      <c r="R17" s="7">
        <f t="shared" si="4"/>
        <v>21</v>
      </c>
      <c r="X17" s="11"/>
      <c r="Y17" s="12"/>
      <c r="Z17" s="13"/>
    </row>
    <row r="18" spans="1:26" x14ac:dyDescent="0.35">
      <c r="A18" s="1">
        <v>17</v>
      </c>
      <c r="B18" s="3" t="s">
        <v>83</v>
      </c>
      <c r="C18" s="3" t="s">
        <v>84</v>
      </c>
      <c r="D18" s="3" t="s">
        <v>85</v>
      </c>
      <c r="E18" s="3" t="s">
        <v>33</v>
      </c>
      <c r="F18" s="3" t="s">
        <v>27</v>
      </c>
      <c r="G18" s="3" t="s">
        <v>46</v>
      </c>
      <c r="H18" s="1">
        <v>2013</v>
      </c>
      <c r="I18" s="1">
        <v>141000</v>
      </c>
      <c r="J18" s="1" t="s">
        <v>29</v>
      </c>
      <c r="K18" s="2">
        <v>45675</v>
      </c>
      <c r="L18" s="1">
        <v>12</v>
      </c>
      <c r="M18" s="1">
        <v>2520</v>
      </c>
      <c r="N18" s="1">
        <f t="shared" si="0"/>
        <v>0.06</v>
      </c>
      <c r="O18" s="1">
        <f t="shared" si="1"/>
        <v>8460</v>
      </c>
      <c r="P18" s="1">
        <f t="shared" si="2"/>
        <v>10980</v>
      </c>
      <c r="Q18" s="1" t="str">
        <f t="shared" si="3"/>
        <v>VIP</v>
      </c>
      <c r="R18" s="7">
        <f t="shared" si="4"/>
        <v>14</v>
      </c>
      <c r="X18" s="11"/>
      <c r="Y18" s="12"/>
      <c r="Z18" s="13"/>
    </row>
    <row r="19" spans="1:26" x14ac:dyDescent="0.35">
      <c r="A19" s="1">
        <v>18</v>
      </c>
      <c r="B19" s="3" t="s">
        <v>86</v>
      </c>
      <c r="C19" s="3" t="s">
        <v>87</v>
      </c>
      <c r="D19" s="3" t="s">
        <v>88</v>
      </c>
      <c r="E19" s="3" t="s">
        <v>20</v>
      </c>
      <c r="F19" s="3" t="s">
        <v>34</v>
      </c>
      <c r="G19" s="3" t="s">
        <v>51</v>
      </c>
      <c r="H19" s="1">
        <v>2014</v>
      </c>
      <c r="I19" s="1">
        <v>144000</v>
      </c>
      <c r="J19" s="1" t="s">
        <v>36</v>
      </c>
      <c r="K19" s="2">
        <v>45676</v>
      </c>
      <c r="L19" s="1">
        <v>12</v>
      </c>
      <c r="M19" s="1">
        <v>2580</v>
      </c>
      <c r="N19" s="1">
        <f t="shared" si="0"/>
        <v>0.03</v>
      </c>
      <c r="O19" s="1">
        <f t="shared" si="1"/>
        <v>4320</v>
      </c>
      <c r="P19" s="1">
        <f t="shared" si="2"/>
        <v>6900</v>
      </c>
      <c r="Q19" s="1" t="str">
        <f t="shared" si="3"/>
        <v>VIP</v>
      </c>
      <c r="R19" s="7">
        <f t="shared" si="4"/>
        <v>33</v>
      </c>
      <c r="X19" s="11"/>
      <c r="Y19" s="12"/>
      <c r="Z19" s="13"/>
    </row>
    <row r="20" spans="1:26" x14ac:dyDescent="0.35">
      <c r="A20" s="1">
        <v>19</v>
      </c>
      <c r="B20" s="3" t="s">
        <v>89</v>
      </c>
      <c r="C20" s="3" t="s">
        <v>90</v>
      </c>
      <c r="D20" s="3" t="s">
        <v>91</v>
      </c>
      <c r="E20" s="3" t="s">
        <v>50</v>
      </c>
      <c r="F20" s="3" t="s">
        <v>21</v>
      </c>
      <c r="G20" s="3" t="s">
        <v>22</v>
      </c>
      <c r="H20" s="1">
        <v>2015</v>
      </c>
      <c r="I20" s="1">
        <v>147000</v>
      </c>
      <c r="J20" s="1" t="s">
        <v>23</v>
      </c>
      <c r="K20" s="2">
        <v>45677</v>
      </c>
      <c r="L20" s="1">
        <v>12</v>
      </c>
      <c r="M20" s="1">
        <v>2640</v>
      </c>
      <c r="N20" s="1">
        <f t="shared" si="0"/>
        <v>0.05</v>
      </c>
      <c r="O20" s="1">
        <f t="shared" si="1"/>
        <v>7350</v>
      </c>
      <c r="P20" s="1">
        <f t="shared" si="2"/>
        <v>9990</v>
      </c>
      <c r="Q20" s="1" t="str">
        <f t="shared" si="3"/>
        <v>VIP</v>
      </c>
      <c r="R20" s="7">
        <f t="shared" si="4"/>
        <v>18</v>
      </c>
      <c r="X20" s="11"/>
      <c r="Y20" s="12"/>
      <c r="Z20" s="13"/>
    </row>
    <row r="21" spans="1:26" x14ac:dyDescent="0.35">
      <c r="A21" s="1">
        <v>20</v>
      </c>
      <c r="B21" s="3" t="s">
        <v>92</v>
      </c>
      <c r="C21" s="3" t="s">
        <v>93</v>
      </c>
      <c r="D21" s="3" t="s">
        <v>94</v>
      </c>
      <c r="E21" s="3" t="s">
        <v>45</v>
      </c>
      <c r="F21" s="3" t="s">
        <v>27</v>
      </c>
      <c r="G21" s="3" t="s">
        <v>28</v>
      </c>
      <c r="H21" s="1">
        <v>2016</v>
      </c>
      <c r="I21" s="1">
        <v>150000</v>
      </c>
      <c r="J21" s="1" t="s">
        <v>29</v>
      </c>
      <c r="K21" s="2">
        <v>45678</v>
      </c>
      <c r="L21" s="1">
        <v>12</v>
      </c>
      <c r="M21" s="1">
        <v>2700</v>
      </c>
      <c r="N21" s="1">
        <f t="shared" si="0"/>
        <v>0.06</v>
      </c>
      <c r="O21" s="1">
        <f t="shared" si="1"/>
        <v>9000</v>
      </c>
      <c r="P21" s="1">
        <f t="shared" si="2"/>
        <v>11700</v>
      </c>
      <c r="Q21" s="1" t="str">
        <f t="shared" si="3"/>
        <v>VIP</v>
      </c>
      <c r="R21" s="7">
        <f t="shared" si="4"/>
        <v>12</v>
      </c>
      <c r="X21" s="11"/>
      <c r="Y21" s="12"/>
      <c r="Z21" s="13"/>
    </row>
    <row r="22" spans="1:26" x14ac:dyDescent="0.35">
      <c r="A22" s="1">
        <v>21</v>
      </c>
      <c r="B22" s="3" t="s">
        <v>95</v>
      </c>
      <c r="C22" s="3" t="s">
        <v>96</v>
      </c>
      <c r="D22" s="3" t="s">
        <v>97</v>
      </c>
      <c r="E22" s="3" t="s">
        <v>40</v>
      </c>
      <c r="F22" s="3" t="s">
        <v>34</v>
      </c>
      <c r="G22" s="3" t="s">
        <v>35</v>
      </c>
      <c r="H22" s="1">
        <v>2017</v>
      </c>
      <c r="I22" s="1">
        <v>153000</v>
      </c>
      <c r="J22" s="1" t="s">
        <v>36</v>
      </c>
      <c r="K22" s="2">
        <v>45679</v>
      </c>
      <c r="L22" s="1">
        <v>12</v>
      </c>
      <c r="M22" s="1">
        <v>2760</v>
      </c>
      <c r="N22" s="1">
        <f t="shared" si="0"/>
        <v>0.03</v>
      </c>
      <c r="O22" s="1">
        <f t="shared" si="1"/>
        <v>4590</v>
      </c>
      <c r="P22" s="1">
        <f t="shared" si="2"/>
        <v>7350</v>
      </c>
      <c r="Q22" s="1" t="str">
        <f t="shared" si="3"/>
        <v>VIP</v>
      </c>
      <c r="R22" s="7">
        <f t="shared" si="4"/>
        <v>32</v>
      </c>
      <c r="X22" s="11"/>
      <c r="Y22" s="12"/>
      <c r="Z22" s="13"/>
    </row>
    <row r="23" spans="1:26" x14ac:dyDescent="0.35">
      <c r="A23" s="1">
        <v>22</v>
      </c>
      <c r="B23" s="3" t="s">
        <v>98</v>
      </c>
      <c r="C23" s="3" t="s">
        <v>99</v>
      </c>
      <c r="D23" s="3" t="s">
        <v>100</v>
      </c>
      <c r="E23" s="3" t="s">
        <v>33</v>
      </c>
      <c r="F23" s="3" t="s">
        <v>21</v>
      </c>
      <c r="G23" s="3" t="s">
        <v>41</v>
      </c>
      <c r="H23" s="1">
        <v>2018</v>
      </c>
      <c r="I23" s="1">
        <v>156000</v>
      </c>
      <c r="J23" s="1" t="s">
        <v>23</v>
      </c>
      <c r="K23" s="2">
        <v>45680</v>
      </c>
      <c r="L23" s="1">
        <v>12</v>
      </c>
      <c r="M23" s="1">
        <v>2820</v>
      </c>
      <c r="N23" s="1">
        <f t="shared" si="0"/>
        <v>0.05</v>
      </c>
      <c r="O23" s="1">
        <f t="shared" si="1"/>
        <v>7800</v>
      </c>
      <c r="P23" s="1">
        <f t="shared" si="2"/>
        <v>10620</v>
      </c>
      <c r="Q23" s="1" t="str">
        <f t="shared" si="3"/>
        <v>VIP</v>
      </c>
      <c r="R23" s="7">
        <f t="shared" si="4"/>
        <v>15</v>
      </c>
      <c r="X23" s="11"/>
      <c r="Y23" s="12"/>
      <c r="Z23" s="13"/>
    </row>
    <row r="24" spans="1:26" x14ac:dyDescent="0.35">
      <c r="A24" s="1">
        <v>23</v>
      </c>
      <c r="B24" s="3" t="s">
        <v>101</v>
      </c>
      <c r="C24" s="3" t="s">
        <v>102</v>
      </c>
      <c r="D24" s="3" t="s">
        <v>103</v>
      </c>
      <c r="E24" s="3" t="s">
        <v>50</v>
      </c>
      <c r="F24" s="3" t="s">
        <v>27</v>
      </c>
      <c r="G24" s="3" t="s">
        <v>46</v>
      </c>
      <c r="H24" s="1">
        <v>2019</v>
      </c>
      <c r="I24" s="1">
        <v>159000</v>
      </c>
      <c r="J24" s="1" t="s">
        <v>29</v>
      </c>
      <c r="K24" s="2">
        <v>45681</v>
      </c>
      <c r="L24" s="1">
        <v>12</v>
      </c>
      <c r="M24" s="1">
        <v>2880</v>
      </c>
      <c r="N24" s="1">
        <f t="shared" si="0"/>
        <v>0.06</v>
      </c>
      <c r="O24" s="1">
        <f t="shared" si="1"/>
        <v>9540</v>
      </c>
      <c r="P24" s="1">
        <f t="shared" si="2"/>
        <v>12420</v>
      </c>
      <c r="Q24" s="1" t="str">
        <f t="shared" si="3"/>
        <v>VIP</v>
      </c>
      <c r="R24" s="7">
        <f t="shared" si="4"/>
        <v>10</v>
      </c>
      <c r="X24" s="14"/>
      <c r="Y24" s="15"/>
      <c r="Z24" s="16"/>
    </row>
    <row r="25" spans="1:26" x14ac:dyDescent="0.35">
      <c r="A25" s="1">
        <v>24</v>
      </c>
      <c r="B25" s="3" t="s">
        <v>104</v>
      </c>
      <c r="C25" s="3" t="s">
        <v>105</v>
      </c>
      <c r="D25" s="3" t="s">
        <v>106</v>
      </c>
      <c r="E25" s="3" t="s">
        <v>40</v>
      </c>
      <c r="F25" s="3" t="s">
        <v>34</v>
      </c>
      <c r="G25" s="3" t="s">
        <v>51</v>
      </c>
      <c r="H25" s="1">
        <v>2020</v>
      </c>
      <c r="I25" s="1">
        <v>162000</v>
      </c>
      <c r="J25" s="1" t="s">
        <v>36</v>
      </c>
      <c r="K25" s="2">
        <v>45682</v>
      </c>
      <c r="L25" s="1">
        <v>12</v>
      </c>
      <c r="M25" s="1">
        <v>2940</v>
      </c>
      <c r="N25" s="1">
        <f t="shared" si="0"/>
        <v>0.03</v>
      </c>
      <c r="O25" s="1">
        <f t="shared" si="1"/>
        <v>4860</v>
      </c>
      <c r="P25" s="1">
        <f t="shared" si="2"/>
        <v>7800</v>
      </c>
      <c r="Q25" s="1" t="str">
        <f t="shared" si="3"/>
        <v>VIP</v>
      </c>
      <c r="R25" s="7">
        <f t="shared" si="4"/>
        <v>29</v>
      </c>
    </row>
    <row r="26" spans="1:26" x14ac:dyDescent="0.35">
      <c r="A26" s="1">
        <v>25</v>
      </c>
      <c r="B26" s="3" t="s">
        <v>107</v>
      </c>
      <c r="C26" s="3" t="s">
        <v>108</v>
      </c>
      <c r="D26" s="3" t="s">
        <v>109</v>
      </c>
      <c r="E26" s="3" t="s">
        <v>45</v>
      </c>
      <c r="F26" s="3" t="s">
        <v>21</v>
      </c>
      <c r="G26" s="3" t="s">
        <v>22</v>
      </c>
      <c r="H26" s="1">
        <v>2021</v>
      </c>
      <c r="I26" s="1">
        <v>165000</v>
      </c>
      <c r="J26" s="1" t="s">
        <v>23</v>
      </c>
      <c r="K26" s="2">
        <v>45683</v>
      </c>
      <c r="L26" s="1">
        <v>12</v>
      </c>
      <c r="M26" s="1">
        <v>3000</v>
      </c>
      <c r="N26" s="1">
        <f t="shared" si="0"/>
        <v>0.05</v>
      </c>
      <c r="O26" s="1">
        <f t="shared" si="1"/>
        <v>8250</v>
      </c>
      <c r="P26" s="1">
        <f t="shared" si="2"/>
        <v>11250</v>
      </c>
      <c r="Q26" s="1" t="str">
        <f t="shared" si="3"/>
        <v>VIP</v>
      </c>
      <c r="R26" s="7">
        <f t="shared" si="4"/>
        <v>13</v>
      </c>
    </row>
    <row r="27" spans="1:26" x14ac:dyDescent="0.35">
      <c r="A27" s="1">
        <v>26</v>
      </c>
      <c r="B27" s="3" t="s">
        <v>110</v>
      </c>
      <c r="C27" s="3" t="s">
        <v>111</v>
      </c>
      <c r="D27" s="3" t="s">
        <v>112</v>
      </c>
      <c r="E27" s="3" t="s">
        <v>20</v>
      </c>
      <c r="F27" s="3" t="s">
        <v>27</v>
      </c>
      <c r="G27" s="3" t="s">
        <v>28</v>
      </c>
      <c r="H27" s="1">
        <v>2022</v>
      </c>
      <c r="I27" s="1">
        <v>168000</v>
      </c>
      <c r="J27" s="1" t="s">
        <v>29</v>
      </c>
      <c r="K27" s="2">
        <v>45684</v>
      </c>
      <c r="L27" s="1">
        <v>12</v>
      </c>
      <c r="M27" s="1">
        <v>3060</v>
      </c>
      <c r="N27" s="1">
        <f t="shared" si="0"/>
        <v>0.06</v>
      </c>
      <c r="O27" s="1">
        <f t="shared" si="1"/>
        <v>10080</v>
      </c>
      <c r="P27" s="1">
        <f t="shared" si="2"/>
        <v>13140</v>
      </c>
      <c r="Q27" s="1" t="str">
        <f t="shared" si="3"/>
        <v>VIP</v>
      </c>
      <c r="R27" s="7">
        <f t="shared" si="4"/>
        <v>7</v>
      </c>
    </row>
    <row r="28" spans="1:26" x14ac:dyDescent="0.35">
      <c r="A28" s="1">
        <v>27</v>
      </c>
      <c r="B28" s="3" t="s">
        <v>113</v>
      </c>
      <c r="C28" s="3" t="s">
        <v>114</v>
      </c>
      <c r="D28" s="3" t="s">
        <v>115</v>
      </c>
      <c r="E28" s="3" t="s">
        <v>50</v>
      </c>
      <c r="F28" s="3" t="s">
        <v>34</v>
      </c>
      <c r="G28" s="3" t="s">
        <v>35</v>
      </c>
      <c r="H28" s="1">
        <v>2023</v>
      </c>
      <c r="I28" s="1">
        <v>171000</v>
      </c>
      <c r="J28" s="1" t="s">
        <v>36</v>
      </c>
      <c r="K28" s="2">
        <v>45685</v>
      </c>
      <c r="L28" s="1">
        <v>12</v>
      </c>
      <c r="M28" s="1">
        <v>3120</v>
      </c>
      <c r="N28" s="1">
        <f t="shared" si="0"/>
        <v>0.03</v>
      </c>
      <c r="O28" s="1">
        <f t="shared" si="1"/>
        <v>5130</v>
      </c>
      <c r="P28" s="1">
        <f t="shared" si="2"/>
        <v>8250</v>
      </c>
      <c r="Q28" s="1" t="str">
        <f t="shared" si="3"/>
        <v>VIP</v>
      </c>
      <c r="R28" s="7">
        <f t="shared" si="4"/>
        <v>26</v>
      </c>
    </row>
    <row r="29" spans="1:26" x14ac:dyDescent="0.35">
      <c r="A29" s="1">
        <v>28</v>
      </c>
      <c r="B29" s="3" t="s">
        <v>116</v>
      </c>
      <c r="C29" s="3" t="s">
        <v>117</v>
      </c>
      <c r="D29" s="3" t="s">
        <v>118</v>
      </c>
      <c r="E29" s="3" t="s">
        <v>33</v>
      </c>
      <c r="F29" s="3" t="s">
        <v>21</v>
      </c>
      <c r="G29" s="3" t="s">
        <v>41</v>
      </c>
      <c r="H29" s="1">
        <v>2010</v>
      </c>
      <c r="I29" s="1">
        <v>174000</v>
      </c>
      <c r="J29" s="1" t="s">
        <v>23</v>
      </c>
      <c r="K29" s="2">
        <v>45658</v>
      </c>
      <c r="L29" s="1">
        <v>12</v>
      </c>
      <c r="M29" s="1">
        <v>3180</v>
      </c>
      <c r="N29" s="1">
        <f t="shared" si="0"/>
        <v>0.05</v>
      </c>
      <c r="O29" s="1">
        <f t="shared" si="1"/>
        <v>8700</v>
      </c>
      <c r="P29" s="1">
        <f t="shared" si="2"/>
        <v>11880</v>
      </c>
      <c r="Q29" s="1" t="str">
        <f t="shared" si="3"/>
        <v>VIP</v>
      </c>
      <c r="R29" s="7">
        <f t="shared" si="4"/>
        <v>11</v>
      </c>
    </row>
    <row r="30" spans="1:26" x14ac:dyDescent="0.35">
      <c r="A30" s="1">
        <v>29</v>
      </c>
      <c r="B30" s="3" t="s">
        <v>119</v>
      </c>
      <c r="C30" s="3" t="s">
        <v>120</v>
      </c>
      <c r="D30" s="3" t="s">
        <v>121</v>
      </c>
      <c r="E30" s="3" t="s">
        <v>40</v>
      </c>
      <c r="F30" s="3" t="s">
        <v>27</v>
      </c>
      <c r="G30" s="3" t="s">
        <v>46</v>
      </c>
      <c r="H30" s="1">
        <v>2011</v>
      </c>
      <c r="I30" s="1">
        <v>177000</v>
      </c>
      <c r="J30" s="1" t="s">
        <v>29</v>
      </c>
      <c r="K30" s="2">
        <v>45659</v>
      </c>
      <c r="L30" s="1">
        <v>12</v>
      </c>
      <c r="M30" s="1">
        <v>3240</v>
      </c>
      <c r="N30" s="1">
        <f t="shared" si="0"/>
        <v>0.06</v>
      </c>
      <c r="O30" s="1">
        <f t="shared" si="1"/>
        <v>10620</v>
      </c>
      <c r="P30" s="1">
        <f t="shared" si="2"/>
        <v>13860</v>
      </c>
      <c r="Q30" s="1" t="str">
        <f t="shared" si="3"/>
        <v>VIP</v>
      </c>
      <c r="R30" s="7">
        <f t="shared" si="4"/>
        <v>5</v>
      </c>
    </row>
    <row r="31" spans="1:26" x14ac:dyDescent="0.35">
      <c r="A31" s="1">
        <v>30</v>
      </c>
      <c r="B31" s="3" t="s">
        <v>122</v>
      </c>
      <c r="C31" s="3" t="s">
        <v>123</v>
      </c>
      <c r="D31" s="3" t="s">
        <v>124</v>
      </c>
      <c r="E31" s="3" t="s">
        <v>45</v>
      </c>
      <c r="F31" s="3" t="s">
        <v>34</v>
      </c>
      <c r="G31" s="3" t="s">
        <v>51</v>
      </c>
      <c r="H31" s="1">
        <v>2012</v>
      </c>
      <c r="I31" s="1">
        <v>180000</v>
      </c>
      <c r="J31" s="1" t="s">
        <v>36</v>
      </c>
      <c r="K31" s="2">
        <v>45660</v>
      </c>
      <c r="L31" s="1">
        <v>12</v>
      </c>
      <c r="M31" s="1">
        <v>3300</v>
      </c>
      <c r="N31" s="1">
        <f t="shared" si="0"/>
        <v>0.03</v>
      </c>
      <c r="O31" s="1">
        <f t="shared" si="1"/>
        <v>5400</v>
      </c>
      <c r="P31" s="1">
        <f t="shared" si="2"/>
        <v>8700</v>
      </c>
      <c r="Q31" s="1" t="str">
        <f>IF(P31&lt;2000,"Standard",IF(P31&lt;5000,"Premium","VIP"))</f>
        <v>VIP</v>
      </c>
      <c r="R31" s="7">
        <f t="shared" si="4"/>
        <v>25</v>
      </c>
    </row>
    <row r="32" spans="1:26" x14ac:dyDescent="0.35">
      <c r="A32" s="1">
        <v>31</v>
      </c>
      <c r="B32" s="3" t="s">
        <v>125</v>
      </c>
      <c r="C32" s="3" t="s">
        <v>126</v>
      </c>
      <c r="D32" s="3" t="s">
        <v>127</v>
      </c>
      <c r="E32" s="3" t="s">
        <v>50</v>
      </c>
      <c r="F32" s="3" t="s">
        <v>21</v>
      </c>
      <c r="G32" s="3" t="s">
        <v>22</v>
      </c>
      <c r="H32" s="1">
        <v>2013</v>
      </c>
      <c r="I32" s="1">
        <v>183000</v>
      </c>
      <c r="J32" s="1" t="s">
        <v>23</v>
      </c>
      <c r="K32" s="2">
        <v>45661</v>
      </c>
      <c r="L32" s="1">
        <v>12</v>
      </c>
      <c r="M32" s="1">
        <v>3360</v>
      </c>
      <c r="N32" s="1">
        <f t="shared" si="0"/>
        <v>0.05</v>
      </c>
      <c r="O32" s="1">
        <f t="shared" si="1"/>
        <v>9150</v>
      </c>
      <c r="P32" s="1">
        <f t="shared" si="2"/>
        <v>12510</v>
      </c>
      <c r="Q32" s="1" t="str">
        <f t="shared" si="3"/>
        <v>VIP</v>
      </c>
      <c r="R32" s="7">
        <f t="shared" si="4"/>
        <v>9</v>
      </c>
    </row>
    <row r="33" spans="1:18" x14ac:dyDescent="0.35">
      <c r="A33" s="1">
        <v>32</v>
      </c>
      <c r="B33" s="3" t="s">
        <v>128</v>
      </c>
      <c r="C33" s="3" t="s">
        <v>129</v>
      </c>
      <c r="D33" s="3" t="s">
        <v>130</v>
      </c>
      <c r="E33" s="3" t="s">
        <v>33</v>
      </c>
      <c r="F33" s="3" t="s">
        <v>27</v>
      </c>
      <c r="G33" s="3" t="s">
        <v>28</v>
      </c>
      <c r="H33" s="1">
        <v>2014</v>
      </c>
      <c r="I33" s="1">
        <v>186000</v>
      </c>
      <c r="J33" s="1" t="s">
        <v>29</v>
      </c>
      <c r="K33" s="2">
        <v>45662</v>
      </c>
      <c r="L33" s="1">
        <v>12</v>
      </c>
      <c r="M33" s="1">
        <v>3420</v>
      </c>
      <c r="N33" s="1">
        <f t="shared" si="0"/>
        <v>0.06</v>
      </c>
      <c r="O33" s="1">
        <f t="shared" si="1"/>
        <v>11160</v>
      </c>
      <c r="P33" s="1">
        <f t="shared" si="2"/>
        <v>14580</v>
      </c>
      <c r="Q33" s="1" t="str">
        <f t="shared" si="3"/>
        <v>VIP</v>
      </c>
      <c r="R33" s="7">
        <f t="shared" si="4"/>
        <v>3</v>
      </c>
    </row>
    <row r="34" spans="1:18" x14ac:dyDescent="0.35">
      <c r="A34" s="1">
        <v>33</v>
      </c>
      <c r="B34" s="3" t="s">
        <v>131</v>
      </c>
      <c r="C34" s="3" t="s">
        <v>132</v>
      </c>
      <c r="D34" s="3" t="s">
        <v>133</v>
      </c>
      <c r="E34" s="3" t="s">
        <v>40</v>
      </c>
      <c r="F34" s="3" t="s">
        <v>34</v>
      </c>
      <c r="G34" s="3" t="s">
        <v>35</v>
      </c>
      <c r="H34" s="1">
        <v>2015</v>
      </c>
      <c r="I34" s="1">
        <v>189000</v>
      </c>
      <c r="J34" s="1" t="s">
        <v>36</v>
      </c>
      <c r="K34" s="2">
        <v>45663</v>
      </c>
      <c r="L34" s="1">
        <v>12</v>
      </c>
      <c r="M34" s="1">
        <v>3480</v>
      </c>
      <c r="N34" s="1">
        <f t="shared" si="0"/>
        <v>0.03</v>
      </c>
      <c r="O34" s="1">
        <f t="shared" si="1"/>
        <v>5670</v>
      </c>
      <c r="P34" s="1">
        <f t="shared" si="2"/>
        <v>9150</v>
      </c>
      <c r="Q34" s="1" t="str">
        <f t="shared" si="3"/>
        <v>VIP</v>
      </c>
      <c r="R34" s="7">
        <f t="shared" si="4"/>
        <v>22</v>
      </c>
    </row>
    <row r="35" spans="1:18" x14ac:dyDescent="0.35">
      <c r="A35" s="1">
        <v>34</v>
      </c>
      <c r="B35" s="3" t="s">
        <v>134</v>
      </c>
      <c r="C35" s="3" t="s">
        <v>135</v>
      </c>
      <c r="D35" s="3" t="s">
        <v>136</v>
      </c>
      <c r="E35" s="3" t="s">
        <v>45</v>
      </c>
      <c r="F35" s="3" t="s">
        <v>21</v>
      </c>
      <c r="G35" s="3" t="s">
        <v>41</v>
      </c>
      <c r="H35" s="1">
        <v>2016</v>
      </c>
      <c r="I35" s="1">
        <v>192000</v>
      </c>
      <c r="J35" s="1" t="s">
        <v>23</v>
      </c>
      <c r="K35" s="2">
        <v>45664</v>
      </c>
      <c r="L35" s="1">
        <v>12</v>
      </c>
      <c r="M35" s="1">
        <v>3540</v>
      </c>
      <c r="N35" s="1">
        <f t="shared" si="0"/>
        <v>0.05</v>
      </c>
      <c r="O35" s="1">
        <f t="shared" si="1"/>
        <v>9600</v>
      </c>
      <c r="P35" s="1">
        <f t="shared" si="2"/>
        <v>13140</v>
      </c>
      <c r="Q35" s="1" t="str">
        <f t="shared" si="3"/>
        <v>VIP</v>
      </c>
      <c r="R35" s="7">
        <f t="shared" si="4"/>
        <v>7</v>
      </c>
    </row>
    <row r="36" spans="1:18" x14ac:dyDescent="0.35">
      <c r="A36" s="1">
        <v>35</v>
      </c>
      <c r="B36" s="3" t="s">
        <v>137</v>
      </c>
      <c r="C36" s="3" t="s">
        <v>138</v>
      </c>
      <c r="D36" s="3" t="s">
        <v>139</v>
      </c>
      <c r="E36" s="3" t="s">
        <v>20</v>
      </c>
      <c r="F36" s="3" t="s">
        <v>27</v>
      </c>
      <c r="G36" s="3" t="s">
        <v>46</v>
      </c>
      <c r="H36" s="1">
        <v>2017</v>
      </c>
      <c r="I36" s="1">
        <v>195000</v>
      </c>
      <c r="J36" s="1" t="s">
        <v>29</v>
      </c>
      <c r="K36" s="2">
        <v>45665</v>
      </c>
      <c r="L36" s="1">
        <v>12</v>
      </c>
      <c r="M36" s="1">
        <v>3600</v>
      </c>
      <c r="N36" s="1">
        <f t="shared" si="0"/>
        <v>0.06</v>
      </c>
      <c r="O36" s="1">
        <f t="shared" si="1"/>
        <v>11700</v>
      </c>
      <c r="P36" s="1">
        <f t="shared" si="2"/>
        <v>15300</v>
      </c>
      <c r="Q36" s="1" t="str">
        <f t="shared" si="3"/>
        <v>VIP</v>
      </c>
      <c r="R36" s="7">
        <f t="shared" si="4"/>
        <v>2</v>
      </c>
    </row>
    <row r="37" spans="1:18" x14ac:dyDescent="0.35">
      <c r="A37" s="1">
        <v>36</v>
      </c>
      <c r="B37" s="3" t="s">
        <v>140</v>
      </c>
      <c r="C37" s="3" t="s">
        <v>141</v>
      </c>
      <c r="D37" s="3" t="s">
        <v>142</v>
      </c>
      <c r="E37" s="3" t="s">
        <v>50</v>
      </c>
      <c r="F37" s="3" t="s">
        <v>34</v>
      </c>
      <c r="G37" s="3" t="s">
        <v>51</v>
      </c>
      <c r="H37" s="1">
        <v>2018</v>
      </c>
      <c r="I37" s="1">
        <v>198000</v>
      </c>
      <c r="J37" s="1" t="s">
        <v>36</v>
      </c>
      <c r="K37" s="2">
        <v>45666</v>
      </c>
      <c r="L37" s="1">
        <v>12</v>
      </c>
      <c r="M37" s="1">
        <v>3660</v>
      </c>
      <c r="N37" s="1">
        <f t="shared" si="0"/>
        <v>0.03</v>
      </c>
      <c r="O37" s="1">
        <f t="shared" si="1"/>
        <v>5940</v>
      </c>
      <c r="P37" s="1">
        <f t="shared" si="2"/>
        <v>9600</v>
      </c>
      <c r="Q37" s="1" t="str">
        <f t="shared" si="3"/>
        <v>VIP</v>
      </c>
      <c r="R37" s="7">
        <f t="shared" si="4"/>
        <v>19</v>
      </c>
    </row>
    <row r="38" spans="1:18" x14ac:dyDescent="0.35">
      <c r="A38" s="1">
        <v>37</v>
      </c>
      <c r="B38" s="3" t="s">
        <v>143</v>
      </c>
      <c r="C38" s="3" t="s">
        <v>144</v>
      </c>
      <c r="D38" s="3" t="s">
        <v>145</v>
      </c>
      <c r="E38" s="3" t="s">
        <v>33</v>
      </c>
      <c r="F38" s="3" t="s">
        <v>21</v>
      </c>
      <c r="G38" s="3" t="s">
        <v>22</v>
      </c>
      <c r="H38" s="1">
        <v>2019</v>
      </c>
      <c r="I38" s="1">
        <v>201000</v>
      </c>
      <c r="J38" s="1" t="s">
        <v>23</v>
      </c>
      <c r="K38" s="2">
        <v>45667</v>
      </c>
      <c r="L38" s="1">
        <v>12</v>
      </c>
      <c r="M38" s="1">
        <v>3720</v>
      </c>
      <c r="N38" s="1">
        <f t="shared" si="0"/>
        <v>0.05</v>
      </c>
      <c r="O38" s="1">
        <f t="shared" si="1"/>
        <v>10050</v>
      </c>
      <c r="P38" s="1">
        <f t="shared" si="2"/>
        <v>13770</v>
      </c>
      <c r="Q38" s="1" t="str">
        <f t="shared" si="3"/>
        <v>VIP</v>
      </c>
      <c r="R38" s="7">
        <f t="shared" si="4"/>
        <v>6</v>
      </c>
    </row>
    <row r="39" spans="1:18" x14ac:dyDescent="0.35">
      <c r="A39" s="1">
        <v>38</v>
      </c>
      <c r="B39" s="3" t="s">
        <v>146</v>
      </c>
      <c r="C39" s="3" t="s">
        <v>147</v>
      </c>
      <c r="D39" s="3" t="s">
        <v>148</v>
      </c>
      <c r="E39" s="3" t="s">
        <v>40</v>
      </c>
      <c r="F39" s="3" t="s">
        <v>27</v>
      </c>
      <c r="G39" s="3" t="s">
        <v>28</v>
      </c>
      <c r="H39" s="1">
        <v>2020</v>
      </c>
      <c r="I39" s="1">
        <v>204000</v>
      </c>
      <c r="J39" s="1" t="s">
        <v>29</v>
      </c>
      <c r="K39" s="2">
        <v>45668</v>
      </c>
      <c r="L39" s="1">
        <v>12</v>
      </c>
      <c r="M39" s="1">
        <v>3780</v>
      </c>
      <c r="N39" s="1">
        <f t="shared" si="0"/>
        <v>0.06</v>
      </c>
      <c r="O39" s="1">
        <f t="shared" si="1"/>
        <v>12240</v>
      </c>
      <c r="P39" s="1">
        <f t="shared" si="2"/>
        <v>16020</v>
      </c>
      <c r="Q39" s="1" t="str">
        <f t="shared" si="3"/>
        <v>VIP</v>
      </c>
      <c r="R39" s="7">
        <f t="shared" si="4"/>
        <v>1</v>
      </c>
    </row>
    <row r="40" spans="1:18" x14ac:dyDescent="0.35">
      <c r="A40" s="1">
        <v>39</v>
      </c>
      <c r="B40" s="3" t="s">
        <v>149</v>
      </c>
      <c r="C40" s="3" t="s">
        <v>150</v>
      </c>
      <c r="D40" s="3" t="s">
        <v>151</v>
      </c>
      <c r="E40" s="3" t="s">
        <v>45</v>
      </c>
      <c r="F40" s="3" t="s">
        <v>34</v>
      </c>
      <c r="G40" s="3" t="s">
        <v>35</v>
      </c>
      <c r="H40" s="1">
        <v>2021</v>
      </c>
      <c r="I40" s="1">
        <v>207000</v>
      </c>
      <c r="J40" s="1" t="s">
        <v>36</v>
      </c>
      <c r="K40" s="2">
        <v>45669</v>
      </c>
      <c r="L40" s="1">
        <v>12</v>
      </c>
      <c r="M40" s="1">
        <v>3840</v>
      </c>
      <c r="N40" s="1">
        <f t="shared" si="0"/>
        <v>0.03</v>
      </c>
      <c r="O40" s="1">
        <f t="shared" si="1"/>
        <v>6210</v>
      </c>
      <c r="P40" s="1">
        <f t="shared" si="2"/>
        <v>10050</v>
      </c>
      <c r="Q40" s="1" t="str">
        <f t="shared" si="3"/>
        <v>VIP</v>
      </c>
      <c r="R40" s="7">
        <f t="shared" si="4"/>
        <v>17</v>
      </c>
    </row>
    <row r="41" spans="1:18" x14ac:dyDescent="0.35">
      <c r="A41" s="1">
        <v>40</v>
      </c>
      <c r="B41" s="3" t="s">
        <v>152</v>
      </c>
      <c r="C41" s="3" t="s">
        <v>153</v>
      </c>
      <c r="D41" s="3" t="s">
        <v>154</v>
      </c>
      <c r="E41" s="3" t="s">
        <v>20</v>
      </c>
      <c r="F41" s="3" t="s">
        <v>21</v>
      </c>
      <c r="G41" s="3" t="s">
        <v>41</v>
      </c>
      <c r="H41" s="1">
        <v>2022</v>
      </c>
      <c r="I41" s="1">
        <v>210000</v>
      </c>
      <c r="J41" s="1" t="s">
        <v>23</v>
      </c>
      <c r="K41" s="2">
        <v>45670</v>
      </c>
      <c r="L41" s="1">
        <v>12</v>
      </c>
      <c r="M41" s="1">
        <v>3900</v>
      </c>
      <c r="N41" s="1">
        <f t="shared" si="0"/>
        <v>0.05</v>
      </c>
      <c r="O41" s="1">
        <f t="shared" si="1"/>
        <v>10500</v>
      </c>
      <c r="P41" s="1">
        <f t="shared" si="2"/>
        <v>14400</v>
      </c>
      <c r="Q41" s="1" t="str">
        <f t="shared" si="3"/>
        <v>VIP</v>
      </c>
      <c r="R41" s="7">
        <f t="shared" si="4"/>
        <v>4</v>
      </c>
    </row>
  </sheetData>
  <pageMargins left="0.75" right="0.75" top="1" bottom="1" header="0.5" footer="0.5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Frontend</vt:lpstr>
      <vt:lpstr>Backend</vt:lpstr>
      <vt:lpstr>Assurances_Auto</vt:lpstr>
      <vt:lpstr>datas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2025-12-28T12:53:27Z</dcterms:created>
  <dcterms:modified xsi:type="dcterms:W3CDTF">2025-12-30T20:51:20Z</dcterms:modified>
</cp:coreProperties>
</file>